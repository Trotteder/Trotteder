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Смены" sheetId="2" state="visible" r:id="rId2"/>
    <sheet name="Отлучки" sheetId="3" state="visible" r:id="rId3"/>
    <sheet name="Интервалы" sheetId="4" state="visible" r:id="rId4"/>
    <sheet name="Журнал" sheetId="5" state="visible" r:id="rId5"/>
    <sheet name="Методика" sheetId="6" state="visible" r:id="rId6"/>
    <sheet name="Данные графика" sheetId="7" state="hidden" r:id="rId7"/>
  </sheets>
  <definedNames>
    <definedName name="_xlnm._FilterDatabase" localSheetId="1" hidden="1">'Смены'!$A$2:$T$32</definedName>
    <definedName name="_xlnm.Print_Titles" localSheetId="1">'Смены'!$1:$2</definedName>
    <definedName name="_xlnm._FilterDatabase" localSheetId="2" hidden="1">'Отлучки'!$A$1:$G$104</definedName>
    <definedName name="_xlnm.Print_Titles" localSheetId="2">'Отлучки'!$1:$1</definedName>
    <definedName name="_xlnm._FilterDatabase" localSheetId="3" hidden="1">'Интервалы'!$A$1:$G$112</definedName>
    <definedName name="_xlnm.Print_Titles" localSheetId="3">'Интервалы'!$1:$1</definedName>
    <definedName name="_xlnm._FilterDatabase" localSheetId="4" hidden="1">'Журнал'!$A$1:$F$283</definedName>
    <definedName name="_xlnm.Print_Titles" localSheetId="4">'Журнал'!$1:$1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 HH:MM:SS"/>
    <numFmt numFmtId="166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1F2933"/>
      <sz val="11"/>
    </font>
    <font>
      <name val="Calibri"/>
      <color rgb="001F2933"/>
      <sz val="10"/>
    </font>
    <font>
      <name val="Calibri"/>
      <b val="1"/>
      <color rgb="001F4E79"/>
      <sz val="20"/>
    </font>
    <font>
      <name val="Calibri"/>
      <color rgb="0052606D"/>
      <sz val="11"/>
    </font>
    <font>
      <name val="Calibri"/>
      <b val="1"/>
      <color rgb="001F2933"/>
      <sz val="13"/>
    </font>
    <font>
      <name val="Calibri"/>
      <i val="1"/>
      <color rgb="0052606D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F2933"/>
      <sz val="11"/>
    </font>
    <font>
      <name val="Calibri"/>
      <b val="1"/>
      <color rgb="009C0006"/>
      <sz val="11"/>
    </font>
    <font>
      <name val="Calibri"/>
      <b val="1"/>
      <color rgb="00C65911"/>
      <sz val="11"/>
    </font>
    <font>
      <name val="Calibri"/>
      <b val="1"/>
      <color rgb="00006100"/>
      <sz val="11"/>
    </font>
    <font>
      <name val="Calibri"/>
      <color rgb="00806000"/>
      <sz val="11"/>
    </font>
    <font>
      <name val="Calibri"/>
      <b val="1"/>
      <color rgb="00FFFFFF"/>
      <sz val="10"/>
    </font>
    <font>
      <name val="Calibri"/>
      <i val="1"/>
      <color rgb="00666666"/>
      <sz val="11"/>
    </font>
    <font>
      <name val="Calibri"/>
      <color rgb="001F2933"/>
      <sz val="12"/>
    </font>
  </fonts>
  <fills count="1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0F6F6A"/>
      </patternFill>
    </fill>
    <fill>
      <patternFill patternType="solid">
        <fgColor rgb="00F4C7C3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A33B32"/>
      </patternFill>
    </fill>
    <fill>
      <patternFill patternType="solid">
        <fgColor rgb="001E7A46"/>
      </patternFill>
    </fill>
    <fill>
      <patternFill patternType="solid">
        <fgColor rgb="008A6D1B"/>
      </patternFill>
    </fill>
    <fill>
      <patternFill patternType="solid">
        <fgColor rgb="00E7EEF5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left" vertical="center" wrapText="1"/>
    </xf>
    <xf numFmtId="46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5" borderId="1" applyAlignment="1" pivotButton="0" quotePrefix="0" xfId="0">
      <alignment horizontal="left" vertical="center" wrapText="1"/>
    </xf>
    <xf numFmtId="46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left" vertical="center" wrapText="1"/>
    </xf>
    <xf numFmtId="46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9" fillId="7" borderId="1" applyAlignment="1" pivotButton="0" quotePrefix="0" xfId="0">
      <alignment horizontal="left" vertical="center" wrapText="1"/>
    </xf>
    <xf numFmtId="46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46" fontId="1" fillId="7" borderId="1" applyAlignment="1" pivotButton="0" quotePrefix="0" xfId="0">
      <alignment horizontal="center" vertical="center" wrapText="1"/>
    </xf>
    <xf numFmtId="46" fontId="1" fillId="6" borderId="1" applyAlignment="1" pivotButton="0" quotePrefix="0" xfId="0">
      <alignment horizontal="center" vertical="center" wrapText="1"/>
    </xf>
    <xf numFmtId="46" fontId="1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46" fontId="9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" fillId="0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5" fontId="15" fillId="2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46" fontId="15" fillId="2" borderId="1" applyAlignment="1" pivotButton="0" quotePrefix="0" xfId="0">
      <alignment horizontal="center" vertical="center" wrapText="1"/>
    </xf>
    <xf numFmtId="165" fontId="12" fillId="7" borderId="1" applyAlignment="1" pivotButton="0" quotePrefix="0" xfId="0">
      <alignment horizontal="center" vertical="center" wrapText="1"/>
    </xf>
    <xf numFmtId="46" fontId="13" fillId="8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165" fontId="11" fillId="6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165" fontId="10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46" fontId="9" fillId="2" borderId="1" applyAlignment="1" pivotButton="0" quotePrefix="0" xfId="0">
      <alignment horizontal="center" vertical="center" wrapText="1"/>
    </xf>
    <xf numFmtId="0" fontId="1" fillId="13" borderId="1" pivotButton="0" quotePrefix="0" xfId="0"/>
    <xf numFmtId="0" fontId="1" fillId="13" borderId="1" applyAlignment="1" pivotButton="0" quotePrefix="0" xfId="0">
      <alignment horizontal="left" vertical="center" wrapText="1"/>
    </xf>
    <xf numFmtId="46" fontId="1" fillId="13" borderId="1" applyAlignment="1" pivotButton="0" quotePrefix="0" xfId="0">
      <alignment horizontal="center" vertical="center" wrapText="1"/>
    </xf>
    <xf numFmtId="166" fontId="1" fillId="1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165" fontId="9" fillId="2" borderId="1" applyAlignment="1" pivotButton="0" quotePrefix="0" xfId="0">
      <alignment horizontal="center" vertical="center" wrapText="1"/>
    </xf>
    <xf numFmtId="46" fontId="9" fillId="1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46" fontId="9" fillId="8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46" fontId="9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165" fontId="9" fillId="5" borderId="1" applyAlignment="1" pivotButton="0" quotePrefix="0" xfId="0">
      <alignment horizontal="center" vertical="center" wrapText="1"/>
    </xf>
    <xf numFmtId="46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46" fontId="1" fillId="13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9" fillId="14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2" fillId="0" borderId="1" pivotButton="0" quotePrefix="0" xfId="0"/>
    <xf numFmtId="2" fontId="2" fillId="0" borderId="1" pivotButton="0" quotePrefix="0" xfId="0"/>
    <xf numFmtId="1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Время на рабочем месте и на территории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'Данные графика'!B1</f>
            </strRef>
          </tx>
          <spPr>
            <a:solidFill>
              <a:srgbClr val="1E7A46"/>
            </a:solidFill>
            <a:ln>
              <a:solidFill>
                <a:srgbClr val="1E7A46"/>
              </a:solidFill>
              <a:prstDash val="solid"/>
            </a:ln>
          </spPr>
          <cat>
            <numRef>
              <f>'Данные графика'!$A$2:$A$31</f>
            </numRef>
          </cat>
          <val>
            <numRef>
              <f>'Данные графика'!$B$2:$B$31</f>
            </numRef>
          </val>
        </ser>
        <ser>
          <idx val="1"/>
          <order val="1"/>
          <tx>
            <strRef>
              <f>'Данные графика'!C1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'Данные графика'!$A$2:$A$31</f>
            </numRef>
          </cat>
          <val>
            <numRef>
              <f>'Данные графика'!$C$2:$C$31</f>
            </numRef>
          </val>
        </ser>
        <ser>
          <idx val="2"/>
          <order val="2"/>
          <tx>
            <strRef>
              <f>'Данные графика'!D1</f>
            </strRef>
          </tx>
          <spPr>
            <a:solidFill>
              <a:srgbClr val="BFBFBF"/>
            </a:solidFill>
            <a:ln>
              <a:solidFill>
                <a:srgbClr val="BFBFBF"/>
              </a:solidFill>
              <a:prstDash val="solid"/>
            </a:ln>
          </spPr>
          <cat>
            <numRef>
              <f>'Данные графика'!$A$2:$A$31</f>
            </numRef>
          </cat>
          <val>
            <numRef>
              <f>'Данные графика'!$D$2:$D$31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Часы</a:t>
                </a:r>
              </a:p>
            </rich>
          </tx>
        </title>
        <numFmt formatCode="0" sourceLinked="0"/>
        <majorTickMark val="none"/>
        <minorTickMark val="none"/>
        <crossAx val="10"/>
        <majorUnit val="2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Анализ</author>
  </authors>
  <commentList>
    <comment ref="I2" authorId="0" shapeId="0">
      <text>
        <t>На сколько первый вход в чистую зону позже начала смены (09:00 или 21:00). Ноль — сотрудник уже был на рабочем месте к началу смены.</t>
      </text>
    </comment>
    <comment ref="J2" authorId="0" shapeId="0">
      <text>
        <t>На сколько последний выход из чистой зоны раньше конца смены. Оранжевым выделен уход раньше чем на 1 минуту. Меньше минуты показано, но не считается нарушением.</t>
      </text>
    </comment>
    <comment ref="Q2" authorId="0" shapeId="0">
      <text>
        <t>Доля 12-часового графика, которую сотрудник провёл в чистой зоне. 100% было бы, если бы он не выходил из чистой зоны с начала и до конца смены.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64</row>
      <rowOff>0</rowOff>
    </from>
    <ext cx="129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G6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38" customWidth="1" min="3" max="3"/>
    <col width="28" customWidth="1" min="4" max="4"/>
    <col width="28" customWidth="1" min="5" max="5"/>
    <col width="36" customWidth="1" min="6" max="6"/>
    <col width="28" customWidth="1" min="7" max="7"/>
    <col width="3" customWidth="1" min="8" max="8"/>
  </cols>
  <sheetData>
    <row r="2" ht="28" customHeight="1">
      <c r="B2" s="1" t="inlineStr">
        <is>
          <t>Анализ нахождения сотрудника на рабочем месте</t>
        </is>
      </c>
    </row>
    <row r="3" ht="32" customHeight="1">
      <c r="B3" s="2" t="inlineStr">
        <is>
          <t>Журнал СКУД за 30.06.2026–31.08.2026. Рабочее место — дверь в чистую зону. Территория — турникет на проходной. Смена длится 12 часов: с 09:00 до 21:00 или с 21:00 до 09:00.</t>
        </is>
      </c>
    </row>
    <row r="5" ht="48" customHeight="1">
      <c r="B5" s="3" t="inlineStr">
        <is>
          <t>На рабочем месте (чистая зона) за 28 полностью наблюдаемых смен: 302 ч 47 мин 43 сек. На территории за 28 смен, где известны и вход, и выход через турникет: 347 ч 23 мин 59 сек.</t>
        </is>
      </c>
    </row>
    <row r="6" ht="32" customHeight="1">
      <c r="B6" s="4" t="inlineStr">
        <is>
          <t>Красным выделено опоздание на рабочее место, оранжевым — ранний уход раньше чем на 1 минуту. Жёлтая ячейка «Пояснение» стоит там, где есть такое отклонение или журнал неполный. Уход меньше чем на минуту раньше конца смены показан, но нарушением не считается.</t>
        </is>
      </c>
    </row>
    <row r="8" ht="24" customHeight="1">
      <c r="B8" s="5" t="inlineStr">
        <is>
          <t>Общее время</t>
        </is>
      </c>
      <c r="C8" s="6" t="n"/>
      <c r="D8" s="6" t="n"/>
      <c r="E8" s="6" t="n"/>
      <c r="F8" s="6" t="n"/>
      <c r="G8" s="6" t="n"/>
    </row>
    <row r="9" ht="22" customHeight="1">
      <c r="B9" s="7" t="inlineStr">
        <is>
          <t>Показатель</t>
        </is>
      </c>
      <c r="C9" s="7" t="inlineStr">
        <is>
          <t>Время</t>
        </is>
      </c>
      <c r="D9" s="7" t="inlineStr">
        <is>
          <t>Прописью</t>
        </is>
      </c>
      <c r="E9" s="7" t="inlineStr">
        <is>
          <t>Что входит</t>
        </is>
      </c>
      <c r="F9" s="8" t="n"/>
      <c r="G9" s="9" t="n"/>
    </row>
    <row r="10" ht="36" customHeight="1">
      <c r="B10" s="10" t="inlineStr">
        <is>
          <t>На рабочем месте</t>
        </is>
      </c>
      <c r="C10" s="11" t="n">
        <v>12.61646990740741</v>
      </c>
      <c r="D10" s="12" t="inlineStr">
        <is>
          <t>302 ч 47 мин 43 сек</t>
        </is>
      </c>
      <c r="E10" s="13" t="inlineStr">
        <is>
          <t>28 смен, у которых виден и первый вход в чистую зону, и последний выход. Это основной итог.</t>
        </is>
      </c>
      <c r="F10" s="14" t="n"/>
      <c r="G10" s="14" t="n"/>
    </row>
    <row r="11" ht="36" customHeight="1">
      <c r="B11" s="10" t="inlineStr">
        <is>
          <t>Из них внутри графика смены</t>
        </is>
      </c>
      <c r="C11" s="11" t="n">
        <v>12.38524305555556</v>
      </c>
      <c r="D11" s="12" t="inlineStr">
        <is>
          <t>297 ч 14 мин 45 сек</t>
        </is>
      </c>
      <c r="E11" s="13" t="inlineStr">
        <is>
          <t>То же время, но только между началом и концом смены. Минуты до начала и после конца сюда не входят.</t>
        </is>
      </c>
      <c r="F11" s="14" t="n"/>
      <c r="G11" s="14" t="n"/>
    </row>
    <row r="12" ht="36" customHeight="1">
      <c r="B12" s="10" t="inlineStr">
        <is>
          <t>На территории</t>
        </is>
      </c>
      <c r="C12" s="11" t="n">
        <v>14.47498842592593</v>
      </c>
      <c r="D12" s="12" t="inlineStr">
        <is>
          <t>347 ч 23 мин 59 сек</t>
        </is>
      </c>
      <c r="E12" s="13" t="inlineStr">
        <is>
          <t>28 смен с входом и выходом через турникет. Ночь 01–02.09 сюда не входит: входа через турникет в журнале нет.</t>
        </is>
      </c>
      <c r="F12" s="14" t="n"/>
      <c r="G12" s="14" t="n"/>
    </row>
    <row r="13" ht="36" customHeight="1">
      <c r="B13" s="10" t="inlineStr">
        <is>
          <t>На территории, но не на рабочем месте</t>
        </is>
      </c>
      <c r="C13" s="11" t="n">
        <v>1.858518518518518</v>
      </c>
      <c r="D13" s="12" t="inlineStr">
        <is>
          <t>44 ч 36 мин 16 сек</t>
        </is>
      </c>
      <c r="E13" s="13" t="inlineStr">
        <is>
          <t>Разница двух строк выше по одним и тем же 13 сменам: гардероб, дорога от турникета и отлучки из чистой зоны, пока человек ещё на территории.</t>
        </is>
      </c>
      <c r="F13" s="14" t="n"/>
      <c r="G13" s="14" t="n"/>
    </row>
    <row r="14" ht="36" customHeight="1">
      <c r="B14" s="15" t="inlineStr">
        <is>
          <t>Опоздания на рабочее место</t>
        </is>
      </c>
      <c r="C14" s="16" t="n">
        <v>0.1407060185185185</v>
      </c>
      <c r="D14" s="17" t="inlineStr">
        <is>
          <t>3 ч 22 мин 37 сек</t>
        </is>
      </c>
      <c r="E14" s="18" t="inlineStr">
        <is>
          <t>2 смена. Считается от начала смены до первого входа в чистую зону, если этот вход позже графика хотя бы на 1 минуту.</t>
        </is>
      </c>
      <c r="F14" s="19" t="n"/>
      <c r="G14" s="19" t="n"/>
    </row>
    <row r="15" ht="36" customHeight="1">
      <c r="B15" s="20" t="inlineStr">
        <is>
          <t>Ранние уходы с рабочего места</t>
        </is>
      </c>
      <c r="C15" s="21" t="n">
        <v>0.5165393518518518</v>
      </c>
      <c r="D15" s="22" t="inlineStr">
        <is>
          <t>12 ч 23 мин 49 сек</t>
        </is>
      </c>
      <c r="E15" s="23" t="inlineStr">
        <is>
          <t>16 смен. Считается от последнего выхода из чистой зоны до конца смены, если ушёл раньше хотя бы на 1 минуту.</t>
        </is>
      </c>
      <c r="F15" s="24" t="n"/>
      <c r="G15" s="24" t="n"/>
    </row>
    <row r="16" ht="36" customHeight="1">
      <c r="B16" s="10" t="inlineStr">
        <is>
          <t>Отлучки внутри смены</t>
        </is>
      </c>
      <c r="C16" s="11" t="n">
        <v>0.9570717592592592</v>
      </c>
      <c r="D16" s="12" t="inlineStr">
        <is>
          <t>22 ч 58 мин 11 сек</t>
        </is>
      </c>
      <c r="E16" s="13" t="inlineStr">
        <is>
          <t>По 28 полным сменам: вышел из чистой зоны и потом вернулся, не заканчивая смену. Территорию при этом не покидал.</t>
        </is>
      </c>
      <c r="F16" s="14" t="n"/>
      <c r="G16" s="14" t="n"/>
    </row>
    <row r="17" ht="24" customHeight="1">
      <c r="B17" s="25" t="inlineStr">
        <is>
          <t>Приход раньше начала смены</t>
        </is>
      </c>
      <c r="C17" s="26" t="n">
        <v>0.189212962962963</v>
      </c>
      <c r="D17" s="27" t="inlineStr">
        <is>
          <t>4 ч 32 мин 28 сек</t>
        </is>
      </c>
      <c r="E17" s="28" t="inlineStr">
        <is>
          <t>Сколько времени уже был в чистой зоне до официального начала. Нарушением не является.</t>
        </is>
      </c>
      <c r="F17" s="29" t="n"/>
      <c r="G17" s="29" t="n"/>
    </row>
    <row r="18" ht="24" customHeight="1">
      <c r="B18" s="25" t="inlineStr">
        <is>
          <t>Уход позже конца смены</t>
        </is>
      </c>
      <c r="C18" s="26" t="n">
        <v>0.04201388888888889</v>
      </c>
      <c r="D18" s="27" t="inlineStr">
        <is>
          <t>1 ч 0 мин 30 сек</t>
        </is>
      </c>
      <c r="E18" s="28" t="inlineStr">
        <is>
          <t>Сколько оставался в чистой зоне после официального конца. Нарушением не является.</t>
        </is>
      </c>
      <c r="F18" s="29" t="n"/>
      <c r="G18" s="29" t="n"/>
    </row>
    <row r="20" ht="32" customHeight="1">
      <c r="B20" s="4" t="inlineStr">
        <is>
          <t>Проверка по 28 сменам: график 336 ч = на рабочем месте внутри графика 297 ч 14 мин 45 сек + опоздания 3 ч 22 мин 37 сек + ранние уходы 12 ч 24 мин 27 сек (из них меньше минуты — 38 сек) + отлучки 22 ч 58 мин 11 сек.</t>
        </is>
      </c>
    </row>
    <row r="22" ht="24" customHeight="1">
      <c r="B22" s="5" t="inlineStr">
        <is>
          <t>В среднем на одну полную смену (12 часов)</t>
        </is>
      </c>
      <c r="C22" s="6" t="n"/>
      <c r="D22" s="6" t="n"/>
      <c r="E22" s="6" t="n"/>
      <c r="F22" s="6" t="n"/>
      <c r="G22" s="6" t="n"/>
    </row>
    <row r="23" ht="22" customHeight="1">
      <c r="B23" s="7" t="inlineStr">
        <is>
          <t>Показатель</t>
        </is>
      </c>
      <c r="C23" s="7" t="inlineStr">
        <is>
          <t>На рабочем месте</t>
        </is>
      </c>
      <c r="D23" s="7" t="inlineStr">
        <is>
          <t>Внутри графика</t>
        </is>
      </c>
      <c r="E23" s="7" t="inlineStr">
        <is>
          <t>Отлучки</t>
        </is>
      </c>
      <c r="F23" s="7" t="inlineStr">
        <is>
          <t>Ранний уход ≥ 1 мин</t>
        </is>
      </c>
      <c r="G23" s="7" t="inlineStr">
        <is>
          <t>Опоздание</t>
        </is>
      </c>
    </row>
    <row r="24" ht="24" customHeight="1">
      <c r="B24" s="10" t="inlineStr">
        <is>
          <t>Среднее, 28 смен</t>
        </is>
      </c>
      <c r="C24" s="30" t="n">
        <v>0.4505882109837963</v>
      </c>
      <c r="D24" s="11" t="n">
        <v>0.4423301091319445</v>
      </c>
      <c r="E24" s="11" t="n">
        <v>0.03418113425925926</v>
      </c>
      <c r="F24" s="31" t="n">
        <v>0.01844783399305555</v>
      </c>
      <c r="G24" s="32" t="n">
        <v>0.00502521494212963</v>
      </c>
    </row>
    <row r="25" ht="32" customHeight="1">
      <c r="B25" s="33" t="inlineStr">
        <is>
          <t>Внутри графика сотрудник проводил на рабочем месте 88.5% двенадцатичасовой смены. Остальное — отлучки из чистой зоны (6.8%), ранний уход (3.7%) и опоздание (3 ч 22 мин 37 сек).</t>
        </is>
      </c>
    </row>
    <row r="27" ht="24" customHeight="1">
      <c r="B27" s="5" t="inlineStr">
        <is>
          <t>Меньше всего времени в чистой зоне</t>
        </is>
      </c>
      <c r="C27" s="6" t="n"/>
      <c r="D27" s="6" t="n"/>
      <c r="E27" s="6" t="n"/>
      <c r="F27" s="6" t="n"/>
      <c r="G27" s="6" t="n"/>
    </row>
    <row r="28" ht="22" customHeight="1">
      <c r="B28" s="7" t="inlineStr">
        <is>
          <t>Смена</t>
        </is>
      </c>
      <c r="C28" s="7" t="inlineStr">
        <is>
          <t>На рабочем месте</t>
        </is>
      </c>
      <c r="D28" s="7" t="inlineStr">
        <is>
          <t>Внутри графика</t>
        </is>
      </c>
      <c r="E28" s="7" t="inlineStr">
        <is>
          <t>Отлучки</t>
        </is>
      </c>
      <c r="F28" s="7" t="inlineStr">
        <is>
          <t>Начало и конец</t>
        </is>
      </c>
      <c r="G28" s="9" t="n"/>
    </row>
    <row r="29" ht="22" customHeight="1">
      <c r="B29" s="10" t="inlineStr">
        <is>
          <t>04.07 дневная (сб)</t>
        </is>
      </c>
      <c r="C29" s="11" t="n">
        <v>0.08641203703703704</v>
      </c>
      <c r="D29" s="34" t="n">
        <v>0.07738425925925926</v>
      </c>
      <c r="E29" s="34" t="n">
        <v>0</v>
      </c>
      <c r="F29" s="22" t="inlineStr">
        <is>
          <t>Ранний уход</t>
        </is>
      </c>
      <c r="G29" s="35" t="n"/>
    </row>
    <row r="30" ht="22" customHeight="1">
      <c r="B30" s="10" t="inlineStr">
        <is>
          <t>16.07–17.07 ночная (чт–пт)</t>
        </is>
      </c>
      <c r="C30" s="11" t="n">
        <v>0.3535995370370371</v>
      </c>
      <c r="D30" s="34" t="n">
        <v>0.3482638888888889</v>
      </c>
      <c r="E30" s="34" t="n">
        <v>0.01196759259259259</v>
      </c>
      <c r="F30" s="17" t="inlineStr">
        <is>
          <t>Опоздание</t>
        </is>
      </c>
      <c r="G30" s="36" t="n"/>
    </row>
    <row r="31" ht="22" customHeight="1">
      <c r="B31" s="10" t="inlineStr">
        <is>
          <t>20.08 дневная (чт)</t>
        </is>
      </c>
      <c r="C31" s="11" t="n">
        <v>0.4334953703703704</v>
      </c>
      <c r="D31" s="34" t="n">
        <v>0.4283449074074074</v>
      </c>
      <c r="E31" s="34" t="n">
        <v>0.06246527777777778</v>
      </c>
      <c r="F31" s="22" t="inlineStr">
        <is>
          <t>Ранний уход</t>
        </is>
      </c>
      <c r="G31" s="35" t="n"/>
    </row>
    <row r="32" ht="22" customHeight="1">
      <c r="B32" s="10" t="inlineStr">
        <is>
          <t>23.08–24.08 ночная (вс–пн)</t>
        </is>
      </c>
      <c r="C32" s="11" t="n">
        <v>0.4394212962962963</v>
      </c>
      <c r="D32" s="34" t="n">
        <v>0.4320138888888889</v>
      </c>
      <c r="E32" s="34" t="n">
        <v>0.06083333333333334</v>
      </c>
      <c r="F32" s="22" t="inlineStr">
        <is>
          <t>Ранний уход</t>
        </is>
      </c>
      <c r="G32" s="35" t="n"/>
    </row>
    <row r="33" ht="22" customHeight="1">
      <c r="B33" s="10" t="inlineStr">
        <is>
          <t>21.08 дневная (пт)</t>
        </is>
      </c>
      <c r="C33" s="11" t="n">
        <v>0.4396759259259259</v>
      </c>
      <c r="D33" s="34" t="n">
        <v>0.4299189814814815</v>
      </c>
      <c r="E33" s="34" t="n">
        <v>0.06685185185185186</v>
      </c>
      <c r="F33" s="22" t="inlineStr">
        <is>
          <t>Ранний уход</t>
        </is>
      </c>
      <c r="G33" s="35" t="n"/>
    </row>
    <row r="34" ht="8" customHeight="1"/>
    <row r="35" ht="24" customHeight="1">
      <c r="B35" s="5" t="inlineStr">
        <is>
          <t>Где есть отклонение</t>
        </is>
      </c>
      <c r="C35" s="6" t="n"/>
      <c r="D35" s="6" t="n"/>
      <c r="E35" s="6" t="n"/>
      <c r="F35" s="6" t="n"/>
      <c r="G35" s="6" t="n"/>
    </row>
    <row r="36" ht="22" customHeight="1">
      <c r="B36" s="7" t="inlineStr">
        <is>
          <t>Смена</t>
        </is>
      </c>
      <c r="C36" s="7" t="inlineStr">
        <is>
          <t>График</t>
        </is>
      </c>
      <c r="D36" s="7" t="inlineStr">
        <is>
          <t>Опоздание</t>
        </is>
      </c>
      <c r="E36" s="7" t="inlineStr">
        <is>
          <t>Ранний уход</t>
        </is>
      </c>
      <c r="F36" s="7" t="inlineStr">
        <is>
          <t>Пояснение</t>
        </is>
      </c>
      <c r="G36" s="9" t="n"/>
    </row>
    <row r="37" ht="48" customHeight="1">
      <c r="B37" s="10" t="inlineStr">
        <is>
          <t>03.07 дневная (пт)</t>
        </is>
      </c>
      <c r="C37" s="10" t="inlineStr">
        <is>
          <t>03.07.2026 09:00–21:00</t>
        </is>
      </c>
      <c r="D37" s="11" t="n">
        <v>0</v>
      </c>
      <c r="E37" s="21" t="n">
        <v>0.007569444444444445</v>
      </c>
      <c r="F37" s="37" t="inlineStr">
        <is>
          <t>Ранний уход с рабочего места на 10 мин 54 сек: выход из чистой зоны в 20:49:06 при окончании смены в 21:00. Далее выход с территории в 21:14:45. К началу смены на рабочем месте уже был (вход в чистую зону в 08:45:22).</t>
        </is>
      </c>
      <c r="G37" s="38" t="n"/>
    </row>
    <row r="38" ht="48" customHeight="1">
      <c r="B38" s="10" t="inlineStr">
        <is>
          <t>04.07 дневная (сб)</t>
        </is>
      </c>
      <c r="C38" s="10" t="inlineStr">
        <is>
          <t>04.07.2026 09:00–21:00</t>
        </is>
      </c>
      <c r="D38" s="11" t="n">
        <v>0</v>
      </c>
      <c r="E38" s="21" t="n">
        <v>0.4226157407407408</v>
      </c>
      <c r="F38" s="37" t="inlineStr">
        <is>
          <t>Ранний уход с рабочего места на 10 ч 8 мин 34 сек: выход из чистой зоны в 10:51:26 при окончании смены в 21:00. Далее выход с территории в 10:59:49. К началу смены на рабочем месте уже был (вход в чистую зону в 08:47:00).</t>
        </is>
      </c>
      <c r="G38" s="38" t="n"/>
    </row>
    <row r="39" ht="48" customHeight="1">
      <c r="B39" s="10" t="inlineStr">
        <is>
          <t>05.07 дневная (вс)</t>
        </is>
      </c>
      <c r="C39" s="10" t="inlineStr">
        <is>
          <t>05.07.2026 09:00–21:00</t>
        </is>
      </c>
      <c r="D39" s="11" t="n">
        <v>0</v>
      </c>
      <c r="E39" s="21" t="n">
        <v>0.007743055555555556</v>
      </c>
      <c r="F39" s="37" t="inlineStr">
        <is>
          <t>Ранний уход с рабочего места на 11 мин 9 сек: выход из чистой зоны в 20:48:51 при окончании смены в 21:00. Далее выход с территории в 21:12:48. К началу смены на рабочем месте уже был (вход в чистую зону в 08:47:51).</t>
        </is>
      </c>
      <c r="G39" s="38" t="n"/>
    </row>
    <row r="40" ht="48" customHeight="1">
      <c r="B40" s="10" t="inlineStr">
        <is>
          <t>07.07–08.07 ночная (вт–ср)</t>
        </is>
      </c>
      <c r="C40" s="10" t="inlineStr">
        <is>
          <t>07.07.2026 21:00 – 08.07.2026 09:00</t>
        </is>
      </c>
      <c r="D40" s="11" t="n">
        <v>0</v>
      </c>
      <c r="E40" s="21" t="n">
        <v>0.002604166666666667</v>
      </c>
      <c r="F40" s="37" t="inlineStr">
        <is>
          <t>Ранний уход с рабочего места на 3 мин 45 сек: выход из чистой зоны в 08:56:15 при окончании смены в 09:00. Далее выход с территории в 09:22:26. К началу смены на рабочем месте уже был (вход в чистую зону в 20:46:13).</t>
        </is>
      </c>
      <c r="G40" s="38" t="n"/>
    </row>
    <row r="41" ht="48" customHeight="1">
      <c r="B41" s="10" t="inlineStr">
        <is>
          <t>15.07–16.07 ночная (ср–чт)</t>
        </is>
      </c>
      <c r="C41" s="10" t="inlineStr">
        <is>
          <t>15.07.2026 21:00 – 16.07.2026 09:00</t>
        </is>
      </c>
      <c r="D41" s="11" t="n">
        <v>0</v>
      </c>
      <c r="E41" s="21" t="n">
        <v>0.0046875</v>
      </c>
      <c r="F41" s="37" t="inlineStr">
        <is>
          <t>Ранний уход с рабочего места на 6 мин 45 сек: выход из чистой зоны в 08:53:15 при окончании смены в 09:00. Далее выход с территории в 09:06:01. К началу смены на рабочем месте уже был (вход в чистую зону в 20:52:28).</t>
        </is>
      </c>
      <c r="G41" s="38" t="n"/>
    </row>
    <row r="42" ht="48" customHeight="1">
      <c r="B42" s="10" t="inlineStr">
        <is>
          <t>16.07–17.07 ночная (чт–пт)</t>
        </is>
      </c>
      <c r="C42" s="10" t="inlineStr">
        <is>
          <t>16.07.2026 21:00 – 17.07.2026 09:00</t>
        </is>
      </c>
      <c r="D42" s="16" t="n">
        <v>0.1397685185185185</v>
      </c>
      <c r="E42" s="11" t="n">
        <v>0</v>
      </c>
      <c r="F42" s="37" t="inlineStr">
        <is>
          <t>Опоздание на рабочее место на 3 ч 21 мин 16 сек: на территорию зашёл в 20:30:19, в чистую зону — в 00:21:16 при начале смены в 21:00.</t>
        </is>
      </c>
      <c r="G42" s="38" t="n"/>
    </row>
    <row r="43" ht="48" customHeight="1">
      <c r="B43" s="10" t="inlineStr">
        <is>
          <t>19.07 дневная (вс)</t>
        </is>
      </c>
      <c r="C43" s="10" t="inlineStr">
        <is>
          <t>19.07.2026 09:00–21:00</t>
        </is>
      </c>
      <c r="D43" s="11" t="n">
        <v>0</v>
      </c>
      <c r="E43" s="21" t="n">
        <v>0.0046875</v>
      </c>
      <c r="F43" s="37" t="inlineStr">
        <is>
          <t>Ранний уход с рабочего места на 6 мин 45 сек: выход из чистой зоны в 20:53:15 при окончании смены в 21:00. Далее выход с территории в 21:08:10. К началу смены на рабочем месте уже был (вход в чистую зону в 08:49:15).</t>
        </is>
      </c>
      <c r="G43" s="38" t="n"/>
    </row>
    <row r="44" ht="48" customHeight="1">
      <c r="B44" s="10" t="inlineStr">
        <is>
          <t>21.07–22.07 ночная (вт–ср)</t>
        </is>
      </c>
      <c r="C44" s="10" t="inlineStr">
        <is>
          <t>21.07.2026 21:00 – 22.07.2026 09:00</t>
        </is>
      </c>
      <c r="D44" s="16" t="n">
        <v>0.0009375</v>
      </c>
      <c r="E44" s="11" t="n">
        <v>0</v>
      </c>
      <c r="F44" s="37" t="inlineStr">
        <is>
          <t>Опоздание на рабочее место на 1 мин 21 сек: на территорию зашёл в 20:35:55, в чистую зону — в 21:01:21 при начале смены в 21:00.</t>
        </is>
      </c>
      <c r="G44" s="38" t="n"/>
    </row>
    <row r="45" ht="48" customHeight="1">
      <c r="B45" s="10" t="inlineStr">
        <is>
          <t>27.07 дневная (пн)</t>
        </is>
      </c>
      <c r="C45" s="10" t="inlineStr">
        <is>
          <t>27.07.2026 09:00–21:00</t>
        </is>
      </c>
      <c r="D45" s="11" t="n">
        <v>0</v>
      </c>
      <c r="E45" s="21" t="n">
        <v>0.004872685185185185</v>
      </c>
      <c r="F45" s="37" t="inlineStr">
        <is>
          <t>Ранний уход с рабочего места на 7 мин 1 сек: выход из чистой зоны в 20:52:59 при окончании смены в 21:00. Далее выход с территории в 21:19:45. К началу смены на рабочем месте уже был (вход в чистую зону в 08:48:52).</t>
        </is>
      </c>
      <c r="G45" s="38" t="n"/>
    </row>
    <row r="46" ht="48" customHeight="1">
      <c r="B46" s="10" t="inlineStr">
        <is>
          <t>30.07–31.07 ночная (чт–пт)</t>
        </is>
      </c>
      <c r="C46" s="10" t="inlineStr">
        <is>
          <t>30.07.2026 21:00 – 31.07.2026 09:00</t>
        </is>
      </c>
      <c r="D46" s="11" t="n">
        <v>0</v>
      </c>
      <c r="E46" s="21" t="n">
        <v>0.005983796296296296</v>
      </c>
      <c r="F46" s="37" t="inlineStr">
        <is>
          <t>Ранний уход с рабочего места на 8 мин 37 сек: выход из чистой зоны в 08:51:23 при окончании смены в 09:00. Далее выход с территории в 09:06:45. К началу смены на рабочем месте уже был (вход в чистую зону в 20:50:41).</t>
        </is>
      </c>
      <c r="G46" s="38" t="n"/>
    </row>
    <row r="47" ht="48" customHeight="1">
      <c r="B47" s="10" t="inlineStr">
        <is>
          <t>31.07–01.08 ночная (пт–сб)</t>
        </is>
      </c>
      <c r="C47" s="10" t="inlineStr">
        <is>
          <t>31.07.2026 21:00 – 01.08.2026 09:00</t>
        </is>
      </c>
      <c r="D47" s="11" t="n">
        <v>0</v>
      </c>
      <c r="E47" s="21" t="n">
        <v>0.006539351851851852</v>
      </c>
      <c r="F47" s="37" t="inlineStr">
        <is>
          <t>Ранний уход с рабочего места на 9 мин 25 сек: выход из чистой зоны в 08:50:35 при окончании смены в 09:00. Далее выход с территории в 09:06:02. К началу смены на рабочем месте уже был (вход в чистую зону в 20:56:08).</t>
        </is>
      </c>
      <c r="G47" s="38" t="n"/>
    </row>
    <row r="48" ht="48" customHeight="1">
      <c r="B48" s="10" t="inlineStr">
        <is>
          <t>20.08 дневная (чт)</t>
        </is>
      </c>
      <c r="C48" s="10" t="inlineStr">
        <is>
          <t>20.08.2026 09:00–21:00</t>
        </is>
      </c>
      <c r="D48" s="11" t="n">
        <v>0</v>
      </c>
      <c r="E48" s="21" t="n">
        <v>0.009189814814814816</v>
      </c>
      <c r="F48" s="37" t="inlineStr">
        <is>
          <t>Ранний уход с рабочего места на 13 мин 14 сек: выход из чистой зоны в 20:46:46 при окончании смены в 21:00. Далее выход с территории в 21:01:04. К началу смены на рабочем месте уже был (вход в чистую зону в 08:52:35).</t>
        </is>
      </c>
      <c r="G48" s="38" t="n"/>
    </row>
    <row r="49" ht="48" customHeight="1">
      <c r="B49" s="10" t="inlineStr">
        <is>
          <t>21.08 дневная (пт)</t>
        </is>
      </c>
      <c r="C49" s="10" t="inlineStr">
        <is>
          <t>21.08.2026 09:00–21:00</t>
        </is>
      </c>
      <c r="D49" s="11" t="n">
        <v>0</v>
      </c>
      <c r="E49" s="21" t="n">
        <v>0.003229166666666667</v>
      </c>
      <c r="F49" s="37" t="inlineStr">
        <is>
          <t>Ранний уход с рабочего места на 4 мин 39 сек: выход из чистой зоны в 20:55:21 при окончании смены в 21:00. Далее выход с территории в 21:07:57. К началу смены на рабочем месте уже был (вход в чистую зону в 08:45:57).</t>
        </is>
      </c>
      <c r="G49" s="38" t="n"/>
    </row>
    <row r="50" ht="48" customHeight="1">
      <c r="B50" s="10" t="inlineStr">
        <is>
          <t>23.08–24.08 ночная (вс–пн)</t>
        </is>
      </c>
      <c r="C50" s="10" t="inlineStr">
        <is>
          <t>23.08.2026 21:00 – 24.08.2026 09:00</t>
        </is>
      </c>
      <c r="D50" s="11" t="n">
        <v>0</v>
      </c>
      <c r="E50" s="21" t="n">
        <v>0.007152777777777778</v>
      </c>
      <c r="F50" s="37" t="inlineStr">
        <is>
          <t>Ранний уход с рабочего места на 10 мин 18 сек: выход из чистой зоны в 08:49:42 при окончании смены в 09:00. Далее выход с территории в 09:17:09. К началу смены на рабочем месте уже был (вход в чистую зону в 20:49:20).</t>
        </is>
      </c>
      <c r="G50" s="38" t="n"/>
    </row>
    <row r="51" ht="48" customHeight="1">
      <c r="B51" s="10" t="inlineStr">
        <is>
          <t>24.08–25.08 ночная (пн–вт)</t>
        </is>
      </c>
      <c r="C51" s="10" t="inlineStr">
        <is>
          <t>24.08.2026 21:00 – 25.08.2026 09:00</t>
        </is>
      </c>
      <c r="D51" s="11" t="n">
        <v>0</v>
      </c>
      <c r="E51" s="21" t="n">
        <v>0.004513888888888888</v>
      </c>
      <c r="F51" s="37" t="inlineStr">
        <is>
          <t>Ранний уход с рабочего места на 6 мин 30 сек: выход из чистой зоны в 08:53:30 при окончании смены в 09:00. Далее выход с территории в 09:08:55. К началу смены на рабочем месте уже был (вход в чистую зону в 20:51:06).</t>
        </is>
      </c>
      <c r="G51" s="38" t="n"/>
    </row>
    <row r="52" ht="48" customHeight="1">
      <c r="B52" s="10" t="inlineStr">
        <is>
          <t>28.08 дневная (пт)</t>
        </is>
      </c>
      <c r="C52" s="10" t="inlineStr">
        <is>
          <t>28.08.2026 09:00–21:00</t>
        </is>
      </c>
      <c r="D52" s="11" t="n">
        <v>0</v>
      </c>
      <c r="E52" s="21" t="n">
        <v>0.001527777777777778</v>
      </c>
      <c r="F52" s="37" t="inlineStr">
        <is>
          <t>Ранний уход с рабочего места на 2 мин 12 сек: выход из чистой зоны в 20:57:48 при окончании смены в 21:00. Далее выход с территории в 21:13:12. К началу смены на рабочем месте уже был (вход в чистую зону в 08:48:03).</t>
        </is>
      </c>
      <c r="G52" s="38" t="n"/>
    </row>
    <row r="53" ht="48" customHeight="1">
      <c r="B53" s="10" t="inlineStr">
        <is>
          <t>29.08 дневная (сб)</t>
        </is>
      </c>
      <c r="C53" s="10" t="inlineStr">
        <is>
          <t>29.08.2026 09:00–21:00</t>
        </is>
      </c>
      <c r="D53" s="11" t="n">
        <v>0</v>
      </c>
      <c r="E53" s="21" t="n">
        <v>0.01099537037037037</v>
      </c>
      <c r="F53" s="37" t="inlineStr">
        <is>
          <t>Ранний уход с рабочего места на 15 мин 50 сек: выход из чистой зоны в 20:44:10 при окончании смены в 21:00. Далее выход с территории в 21:14:51. К началу смены на рабочем месте уже был (вход в чистую зону в 08:45:09).</t>
        </is>
      </c>
      <c r="G53" s="38" t="n"/>
    </row>
    <row r="54" ht="48" customHeight="1">
      <c r="B54" s="10" t="inlineStr">
        <is>
          <t>30.08–31.08 ночная (вс–пн)</t>
        </is>
      </c>
      <c r="C54" s="10" t="inlineStr">
        <is>
          <t>30.08.2026 21:00 – 31.08.2026 09:00</t>
        </is>
      </c>
      <c r="D54" s="11" t="n">
        <v>0</v>
      </c>
      <c r="E54" s="21" t="n">
        <v>0.01262731481481482</v>
      </c>
      <c r="F54" s="37" t="inlineStr">
        <is>
          <t>Ранний уход с рабочего места на 18 мин 11 сек: выход из чистой зоны в 08:41:49 при окончании смены в 09:00. Далее выход с территории в 08:54:32. К началу смены на рабочем месте уже был (вход в чистую зону в 20:56:36).</t>
        </is>
      </c>
      <c r="G54" s="38" t="n"/>
    </row>
    <row r="56" ht="36" customHeight="1">
      <c r="B56" s="39" t="inlineStr">
        <is>
          <t>Меньше одной минуты раньше конца смены (не выделено как нарушение): 30.06–01.07 ночная — 42 сек (выход в 08:59:18); 28.07 дневная — 38 сек (выход в 20:59:22)</t>
        </is>
      </c>
      <c r="C56" s="40" t="n"/>
      <c r="D56" s="40" t="n"/>
      <c r="E56" s="40" t="n"/>
      <c r="F56" s="40" t="n"/>
      <c r="G56" s="40" t="n"/>
    </row>
    <row r="58" ht="24" customHeight="1">
      <c r="B58" s="5" t="inlineStr">
        <is>
          <t>Неполные и спорные записи</t>
        </is>
      </c>
      <c r="C58" s="6" t="n"/>
      <c r="D58" s="6" t="n"/>
      <c r="E58" s="6" t="n"/>
      <c r="F58" s="6" t="n"/>
      <c r="G58" s="6" t="n"/>
    </row>
    <row r="59" ht="56" customHeight="1">
      <c r="B59" s="41" t="inlineStr">
        <is>
          <t>30.06–01.07 ночная (вт–ср)</t>
        </is>
      </c>
      <c r="C59" s="42" t="inlineStr">
        <is>
          <t>В журнале только окончание ночной смены: нет входа через турникет и неизвестно, когда сотрудник впервые зашёл в чистую зону. Время на рабочем месте до выхода в 02:16:12 не посчитано. Выход из чистой зоны в 08:59:18 — на 42 сек раньше 09:00. Это меньше одной минуты и как нарушение не выделено.</t>
        </is>
      </c>
      <c r="D59" s="43" t="n"/>
      <c r="E59" s="43" t="n"/>
      <c r="F59" s="43" t="n"/>
      <c r="G59" s="43" t="n"/>
    </row>
    <row r="60" ht="56" customHeight="1">
      <c r="B60" s="41" t="inlineStr">
        <is>
          <t>31.08–01.09 ночная (пн–вт)</t>
        </is>
      </c>
      <c r="C60" s="42" t="inlineStr">
        <is>
          <t>Журнал обрывается на входе в чистую зону 31.08.2026 в 23:41:46. Выхода из чистой зоны и выхода с территории дальше нет, поэтому время ухода неизвестно. В строке посчитаны только закрытые интервалы до этого входа. В общий итог смена не входит.</t>
        </is>
      </c>
      <c r="D60" s="43" t="n"/>
      <c r="E60" s="43" t="n"/>
      <c r="F60" s="43" t="n"/>
      <c r="G60" s="43" t="n"/>
    </row>
    <row r="61" ht="56" customHeight="1">
      <c r="B61" s="41" t="inlineStr">
        <is>
          <t>Дни без записей</t>
        </is>
      </c>
      <c r="C61" s="42" t="inlineStr">
        <is>
          <t>В выгрузке нет ни одного события за 02.07, 09.07–10.07, 13.07, 18.07, 26.07, 02.08–19.08, 22.08, 26.08–27.08. Это не записано как отсутствие: по этим датам журнал просто ничего не содержит.</t>
        </is>
      </c>
      <c r="D61" s="43" t="n"/>
      <c r="E61" s="43" t="n"/>
      <c r="F61" s="43" t="n"/>
      <c r="G61" s="43" t="n"/>
    </row>
    <row r="64">
      <c r="B64" s="44" t="inlineStr">
        <is>
          <t>Часы по сменам. Звёздочка — неполная смена, в общий итог не входит. Пустой столбец территории — нет входа или выхода через турникет.</t>
        </is>
      </c>
    </row>
  </sheetData>
  <mergeCells count="51">
    <mergeCell ref="B2:G2"/>
    <mergeCell ref="E10:G10"/>
    <mergeCell ref="E13:G13"/>
    <mergeCell ref="F29:G29"/>
    <mergeCell ref="F54:G54"/>
    <mergeCell ref="B8:G8"/>
    <mergeCell ref="E9:G9"/>
    <mergeCell ref="F40:G40"/>
    <mergeCell ref="E15:G15"/>
    <mergeCell ref="F30:G30"/>
    <mergeCell ref="F53:G53"/>
    <mergeCell ref="E11:G11"/>
    <mergeCell ref="F51:G51"/>
    <mergeCell ref="F33:G33"/>
    <mergeCell ref="F45:G45"/>
    <mergeCell ref="F36:G36"/>
    <mergeCell ref="F42:G42"/>
    <mergeCell ref="F32:G32"/>
    <mergeCell ref="F50:G50"/>
    <mergeCell ref="F41:G41"/>
    <mergeCell ref="B64:G64"/>
    <mergeCell ref="E16:G16"/>
    <mergeCell ref="B6:G6"/>
    <mergeCell ref="B20:G20"/>
    <mergeCell ref="C59:G59"/>
    <mergeCell ref="F47:G47"/>
    <mergeCell ref="B5:G5"/>
    <mergeCell ref="F38:G38"/>
    <mergeCell ref="C60:G60"/>
    <mergeCell ref="F31:G31"/>
    <mergeCell ref="B35:G35"/>
    <mergeCell ref="E12:G12"/>
    <mergeCell ref="E18:G18"/>
    <mergeCell ref="F28:G28"/>
    <mergeCell ref="F46:G46"/>
    <mergeCell ref="C61:G61"/>
    <mergeCell ref="F52:G52"/>
    <mergeCell ref="B25:G25"/>
    <mergeCell ref="B3:G3"/>
    <mergeCell ref="F43:G43"/>
    <mergeCell ref="F37:G37"/>
    <mergeCell ref="F39:G39"/>
    <mergeCell ref="F48:G48"/>
    <mergeCell ref="E14:G14"/>
    <mergeCell ref="B22:G22"/>
    <mergeCell ref="B27:G27"/>
    <mergeCell ref="F49:G49"/>
    <mergeCell ref="E17:G17"/>
    <mergeCell ref="B56:G56"/>
    <mergeCell ref="B58:G58"/>
    <mergeCell ref="F44:G44"/>
  </mergeCells>
  <printOptions horizontalCentered="1"/>
  <pageMargins left="0.4" right="0.4" top="0.6" bottom="0.5" header="0.5" footer="0.5"/>
  <pageSetup orientation="landscape" paperSize="8" fitToHeight="1" fitToWidth="1"/>
  <headerFooter>
    <oddHeader/>
    <oddFooter>&amp;LКрасный — опоздание, оранжевый — ранний уход от 1 минуты&amp;RСтр.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35"/>
  <sheetViews>
    <sheetView showGridLines="0" zoomScale="11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22" customWidth="1" min="4" max="4"/>
    <col width="22" customWidth="1" min="5" max="5"/>
    <col width="18" customWidth="1" min="6" max="6"/>
    <col width="24" customWidth="1" min="7" max="7"/>
    <col width="24" customWidth="1" min="8" max="8"/>
    <col width="14" customWidth="1" min="9" max="9"/>
    <col width="16" customWidth="1" min="10" max="10"/>
    <col width="28" customWidth="1" min="11" max="11"/>
    <col width="20" customWidth="1" min="12" max="12"/>
    <col width="18" customWidth="1" min="13" max="13"/>
    <col width="16" customWidth="1" min="14" max="14"/>
    <col width="18" customWidth="1" min="15" max="15"/>
    <col width="20" customWidth="1" min="16" max="16"/>
    <col width="18" customWidth="1" min="17" max="17"/>
    <col width="22" customWidth="1" min="18" max="18"/>
    <col width="46" customWidth="1" min="19" max="19"/>
    <col width="62" customWidth="1" min="20" max="20"/>
  </cols>
  <sheetData>
    <row r="1" ht="22" customHeight="1">
      <c r="A1" s="45" t="inlineStr">
        <is>
          <t>Смена</t>
        </is>
      </c>
      <c r="B1" s="45" t="n"/>
      <c r="C1" s="45" t="n"/>
      <c r="D1" s="45" t="inlineStr">
        <is>
          <t>Территория (турникет)</t>
        </is>
      </c>
      <c r="E1" s="45" t="n"/>
      <c r="F1" s="45" t="n"/>
      <c r="G1" s="46" t="inlineStr">
        <is>
          <t>Рабочее место: приход и уход</t>
        </is>
      </c>
      <c r="H1" s="46" t="n"/>
      <c r="I1" s="47" t="inlineStr">
        <is>
          <t>Отклонения от графика</t>
        </is>
      </c>
      <c r="J1" s="47" t="n"/>
      <c r="K1" s="47" t="n"/>
      <c r="L1" s="48" t="inlineStr">
        <is>
          <t>Сколько был на рабочем месте</t>
        </is>
      </c>
      <c r="M1" s="48" t="n"/>
      <c r="N1" s="48" t="n"/>
      <c r="O1" s="48" t="n"/>
      <c r="P1" s="48" t="n"/>
      <c r="Q1" s="48" t="n"/>
      <c r="R1" s="46" t="inlineStr">
        <is>
          <t>Вне чистой зоны</t>
        </is>
      </c>
      <c r="S1" s="49" t="inlineStr">
        <is>
          <t>Комментарии</t>
        </is>
      </c>
      <c r="T1" s="49" t="n"/>
    </row>
    <row r="2" ht="36" customHeight="1">
      <c r="A2" s="45" t="inlineStr">
        <is>
          <t>№</t>
        </is>
      </c>
      <c r="B2" s="45" t="inlineStr">
        <is>
          <t>Смена</t>
        </is>
      </c>
      <c r="C2" s="45" t="inlineStr">
        <is>
          <t>График</t>
        </is>
      </c>
      <c r="D2" s="45" t="inlineStr">
        <is>
          <t>Вход на территорию</t>
        </is>
      </c>
      <c r="E2" s="45" t="inlineStr">
        <is>
          <t>Выход с территории</t>
        </is>
      </c>
      <c r="F2" s="45" t="inlineStr">
        <is>
          <t>Время на территории</t>
        </is>
      </c>
      <c r="G2" s="46" t="inlineStr">
        <is>
          <t>Приход на рабочее место</t>
        </is>
      </c>
      <c r="H2" s="46" t="inlineStr">
        <is>
          <t>Уход с рабочего места</t>
        </is>
      </c>
      <c r="I2" s="47" t="inlineStr">
        <is>
          <t>Опоздание</t>
        </is>
      </c>
      <c r="J2" s="47" t="inlineStr">
        <is>
          <t>Ранний уход</t>
        </is>
      </c>
      <c r="K2" s="47" t="inlineStr">
        <is>
          <t>Статус</t>
        </is>
      </c>
      <c r="L2" s="48" t="inlineStr">
        <is>
          <t>Время на рабочем месте</t>
        </is>
      </c>
      <c r="M2" s="48" t="inlineStr">
        <is>
          <t>В пределах графика</t>
        </is>
      </c>
      <c r="N2" s="48" t="inlineStr">
        <is>
          <t>До начала смены</t>
        </is>
      </c>
      <c r="O2" s="48" t="inlineStr">
        <is>
          <t>После конца смены</t>
        </is>
      </c>
      <c r="P2" s="48" t="inlineStr">
        <is>
          <t>Отлучки внутри смены</t>
        </is>
      </c>
      <c r="Q2" s="48" t="inlineStr">
        <is>
          <t>Доля графика на рабочем месте</t>
        </is>
      </c>
      <c r="R2" s="46" t="inlineStr">
        <is>
          <t>На территории вне рабочего места</t>
        </is>
      </c>
      <c r="S2" s="49" t="inlineStr">
        <is>
          <t>Отлучки от 10 минут</t>
        </is>
      </c>
      <c r="T2" s="49" t="inlineStr">
        <is>
          <t>Пояснение</t>
        </is>
      </c>
    </row>
    <row r="3" ht="78" customHeight="1">
      <c r="A3" s="50" t="n">
        <v>1</v>
      </c>
      <c r="B3" s="10" t="inlineStr">
        <is>
          <t>30.06–01.07 ночная (вт–ср) *</t>
        </is>
      </c>
      <c r="C3" s="10" t="inlineStr">
        <is>
          <t>30.06.2026 21:00 – 01.07.2026 09:00</t>
        </is>
      </c>
      <c r="D3" s="51" t="inlineStr">
        <is>
          <t>нет в журнале</t>
        </is>
      </c>
      <c r="E3" s="52" t="n">
        <v>46204.38677083333</v>
      </c>
      <c r="F3" s="53" t="n"/>
      <c r="G3" s="52" t="n">
        <v>46204.09622685185</v>
      </c>
      <c r="H3" s="54" t="n">
        <v>46204.37451388889</v>
      </c>
      <c r="I3" s="53" t="n"/>
      <c r="J3" s="55" t="n">
        <v>0.0004861111111111111</v>
      </c>
      <c r="K3" s="56" t="inlineStr">
        <is>
          <t>Неполные данные</t>
        </is>
      </c>
      <c r="L3" s="34" t="n">
        <v>0.267962962962963</v>
      </c>
      <c r="M3" s="53" t="n"/>
      <c r="N3" s="53" t="n"/>
      <c r="O3" s="53" t="n"/>
      <c r="P3" s="53" t="n"/>
      <c r="Q3" s="57" t="n"/>
      <c r="R3" s="53" t="n"/>
      <c r="S3" s="10" t="inlineStr">
        <is>
          <t>06:51:10–07:06:02 (14 мин 52 сек)</t>
        </is>
      </c>
      <c r="T3" s="58" t="inlineStr">
        <is>
          <t>В журнале только окончание ночной смены: нет входа через турникет и неизвестно, когда сотрудник впервые зашёл в чистую зону. Время на рабочем месте до выхода в 02:16:12 не посчитано. Выход из чистой зоны в 08:59:18 — на 42 сек раньше 09:00. Это меньше одной минуты и как нарушение не выделено.</t>
        </is>
      </c>
    </row>
    <row r="4" ht="50" customHeight="1">
      <c r="A4" s="50" t="n">
        <v>2</v>
      </c>
      <c r="B4" s="10" t="inlineStr">
        <is>
          <t>03.07 дневная (пт)</t>
        </is>
      </c>
      <c r="C4" s="10" t="inlineStr">
        <is>
          <t>03.07.2026 09:00–21:00</t>
        </is>
      </c>
      <c r="D4" s="52" t="n">
        <v>46206.35047453704</v>
      </c>
      <c r="E4" s="52" t="n">
        <v>46206.88524305556</v>
      </c>
      <c r="F4" s="34" t="n">
        <v>0.5347685185185185</v>
      </c>
      <c r="G4" s="54" t="n">
        <v>46206.36483796296</v>
      </c>
      <c r="H4" s="59" t="n">
        <v>46206.86743055555</v>
      </c>
      <c r="I4" s="34" t="n">
        <v>0</v>
      </c>
      <c r="J4" s="21" t="n">
        <v>0.007569444444444445</v>
      </c>
      <c r="K4" s="22" t="inlineStr">
        <is>
          <t>Ранний уход</t>
        </is>
      </c>
      <c r="L4" s="34" t="n">
        <v>0.4864120370370371</v>
      </c>
      <c r="M4" s="34" t="n">
        <v>0.47625</v>
      </c>
      <c r="N4" s="34" t="n">
        <v>0.01016203703703704</v>
      </c>
      <c r="O4" s="34" t="n">
        <v>0</v>
      </c>
      <c r="P4" s="34" t="n">
        <v>0.01618055555555556</v>
      </c>
      <c r="Q4" s="60" t="n">
        <v>0.9525</v>
      </c>
      <c r="R4" s="34" t="n">
        <v>0.04835648148148148</v>
      </c>
      <c r="S4" s="10" t="inlineStr">
        <is>
          <t>13:03:21–13:22:14 (18 мин 53 сек)</t>
        </is>
      </c>
      <c r="T4" s="58" t="inlineStr">
        <is>
          <t>Ранний уход с рабочего места на 10 мин 54 сек: выход из чистой зоны в 20:49:06 при окончании смены в 21:00. Далее выход с территории в 21:14:45. К началу смены на рабочем месте уже был (вход в чистую зону в 08:45:22).</t>
        </is>
      </c>
    </row>
    <row r="5" ht="50" customHeight="1">
      <c r="A5" s="50" t="n">
        <v>3</v>
      </c>
      <c r="B5" s="10" t="inlineStr">
        <is>
          <t>04.07 дневная (сб)</t>
        </is>
      </c>
      <c r="C5" s="10" t="inlineStr">
        <is>
          <t>04.07.2026 09:00–21:00</t>
        </is>
      </c>
      <c r="D5" s="52" t="n">
        <v>46207.35061342592</v>
      </c>
      <c r="E5" s="52" t="n">
        <v>46207.45820601852</v>
      </c>
      <c r="F5" s="34" t="n">
        <v>0.1075925925925926</v>
      </c>
      <c r="G5" s="54" t="n">
        <v>46207.36597222222</v>
      </c>
      <c r="H5" s="59" t="n">
        <v>46207.45238425926</v>
      </c>
      <c r="I5" s="34" t="n">
        <v>0</v>
      </c>
      <c r="J5" s="21" t="n">
        <v>0.4226157407407408</v>
      </c>
      <c r="K5" s="22" t="inlineStr">
        <is>
          <t>Ранний уход</t>
        </is>
      </c>
      <c r="L5" s="34" t="n">
        <v>0.08641203703703704</v>
      </c>
      <c r="M5" s="34" t="n">
        <v>0.07738425925925926</v>
      </c>
      <c r="N5" s="34" t="n">
        <v>0.009027777777777777</v>
      </c>
      <c r="O5" s="34" t="n">
        <v>0</v>
      </c>
      <c r="P5" s="34" t="n">
        <v>0</v>
      </c>
      <c r="Q5" s="60" t="n">
        <v>0.1547685185185185</v>
      </c>
      <c r="R5" s="34" t="n">
        <v>0.02118055555555556</v>
      </c>
      <c r="S5" s="10" t="inlineStr">
        <is>
          <t>—</t>
        </is>
      </c>
      <c r="T5" s="58" t="inlineStr">
        <is>
          <t>Ранний уход с рабочего места на 10 ч 8 мин 34 сек: выход из чистой зоны в 10:51:26 при окончании смены в 21:00. Далее выход с территории в 10:59:49. К началу смены на рабочем месте уже был (вход в чистую зону в 08:47:00).</t>
        </is>
      </c>
    </row>
    <row r="6" ht="78" customHeight="1">
      <c r="A6" s="50" t="n">
        <v>4</v>
      </c>
      <c r="B6" s="10" t="inlineStr">
        <is>
          <t>05.07 дневная (вс)</t>
        </is>
      </c>
      <c r="C6" s="10" t="inlineStr">
        <is>
          <t>05.07.2026 09:00–21:00</t>
        </is>
      </c>
      <c r="D6" s="52" t="n">
        <v>46208.3524537037</v>
      </c>
      <c r="E6" s="52" t="n">
        <v>46208.88388888889</v>
      </c>
      <c r="F6" s="34" t="n">
        <v>0.5314351851851852</v>
      </c>
      <c r="G6" s="54" t="n">
        <v>46208.3665625</v>
      </c>
      <c r="H6" s="59" t="n">
        <v>46208.86725694445</v>
      </c>
      <c r="I6" s="34" t="n">
        <v>0</v>
      </c>
      <c r="J6" s="21" t="n">
        <v>0.007743055555555556</v>
      </c>
      <c r="K6" s="22" t="inlineStr">
        <is>
          <t>Ранний уход</t>
        </is>
      </c>
      <c r="L6" s="34" t="n">
        <v>0.4791319444444445</v>
      </c>
      <c r="M6" s="34" t="n">
        <v>0.4706944444444445</v>
      </c>
      <c r="N6" s="34" t="n">
        <v>0.008437500000000001</v>
      </c>
      <c r="O6" s="34" t="n">
        <v>0</v>
      </c>
      <c r="P6" s="34" t="n">
        <v>0.0215625</v>
      </c>
      <c r="Q6" s="60" t="n">
        <v>0.9413888888888889</v>
      </c>
      <c r="R6" s="34" t="n">
        <v>0.05230324074074074</v>
      </c>
      <c r="S6" s="10" t="inlineStr">
        <is>
          <t>13:15:17–13:35:21 (20 мин 4 сек); 17:04:36–17:15:35 (10 мин 59 сек)</t>
        </is>
      </c>
      <c r="T6" s="58" t="inlineStr">
        <is>
          <t>Ранний уход с рабочего места на 11 мин 9 сек: выход из чистой зоны в 20:48:51 при окончании смены в 21:00. Далее выход с территории в 21:12:48. К началу смены на рабочем месте уже был (вход в чистую зону в 08:47:51).</t>
        </is>
      </c>
    </row>
    <row r="7" ht="34" customHeight="1">
      <c r="A7" s="50" t="n">
        <v>5</v>
      </c>
      <c r="B7" s="10" t="inlineStr">
        <is>
          <t>06.07–07.07 ночная (пн–вт)</t>
        </is>
      </c>
      <c r="C7" s="10" t="inlineStr">
        <is>
          <t>06.07.2026 21:00 – 07.07.2026 09:00</t>
        </is>
      </c>
      <c r="D7" s="52" t="n">
        <v>46209.85164351852</v>
      </c>
      <c r="E7" s="52" t="n">
        <v>46210.38591435185</v>
      </c>
      <c r="F7" s="34" t="n">
        <v>0.5342708333333334</v>
      </c>
      <c r="G7" s="54" t="n">
        <v>46209.86171296296</v>
      </c>
      <c r="H7" s="54" t="n">
        <v>46210.37637731482</v>
      </c>
      <c r="I7" s="34" t="n">
        <v>0</v>
      </c>
      <c r="J7" s="26" t="n">
        <v>0</v>
      </c>
      <c r="K7" s="27" t="inlineStr">
        <is>
          <t>Норма</t>
        </is>
      </c>
      <c r="L7" s="34" t="n">
        <v>0.4890509259259259</v>
      </c>
      <c r="M7" s="34" t="n">
        <v>0.4743865740740741</v>
      </c>
      <c r="N7" s="34" t="n">
        <v>0.01328703703703704</v>
      </c>
      <c r="O7" s="34" t="n">
        <v>0.001377314814814815</v>
      </c>
      <c r="P7" s="34" t="n">
        <v>0.02561342592592592</v>
      </c>
      <c r="Q7" s="60" t="n">
        <v>0.9487731481481482</v>
      </c>
      <c r="R7" s="34" t="n">
        <v>0.04521990740740741</v>
      </c>
      <c r="S7" s="10" t="inlineStr">
        <is>
          <t>00:45:04–01:09:56 (24 мин 52 сек); 06:37:56–06:49:57 (12 мин 1 сек)</t>
        </is>
      </c>
      <c r="T7" s="61" t="inlineStr">
        <is>
          <t>—</t>
        </is>
      </c>
    </row>
    <row r="8" ht="78" customHeight="1">
      <c r="A8" s="50" t="n">
        <v>6</v>
      </c>
      <c r="B8" s="10" t="inlineStr">
        <is>
          <t>07.07–08.07 ночная (вт–ср)</t>
        </is>
      </c>
      <c r="C8" s="10" t="inlineStr">
        <is>
          <t>07.07.2026 21:00 – 08.07.2026 09:00</t>
        </is>
      </c>
      <c r="D8" s="52" t="n">
        <v>46210.85078703704</v>
      </c>
      <c r="E8" s="52" t="n">
        <v>46211.3905787037</v>
      </c>
      <c r="F8" s="34" t="n">
        <v>0.5397916666666667</v>
      </c>
      <c r="G8" s="54" t="n">
        <v>46210.86542824074</v>
      </c>
      <c r="H8" s="59" t="n">
        <v>46211.37239583334</v>
      </c>
      <c r="I8" s="34" t="n">
        <v>0</v>
      </c>
      <c r="J8" s="21" t="n">
        <v>0.002604166666666667</v>
      </c>
      <c r="K8" s="22" t="inlineStr">
        <is>
          <t>Ранний уход</t>
        </is>
      </c>
      <c r="L8" s="34" t="n">
        <v>0.4913773148148148</v>
      </c>
      <c r="M8" s="34" t="n">
        <v>0.4818055555555555</v>
      </c>
      <c r="N8" s="34" t="n">
        <v>0.009571759259259259</v>
      </c>
      <c r="O8" s="34" t="n">
        <v>0</v>
      </c>
      <c r="P8" s="34" t="n">
        <v>0.01559027777777778</v>
      </c>
      <c r="Q8" s="60" t="n">
        <v>0.9636111111111111</v>
      </c>
      <c r="R8" s="34" t="n">
        <v>0.04841435185185185</v>
      </c>
      <c r="S8" s="10" t="inlineStr">
        <is>
          <t>00:10:08–00:22:26 (12 мин 18 сек); 06:37:44–06:47:53 (10 мин 9 сек)</t>
        </is>
      </c>
      <c r="T8" s="58" t="inlineStr">
        <is>
          <t>Ранний уход с рабочего места на 3 мин 45 сек: выход из чистой зоны в 08:56:15 при окончании смены в 09:00. Далее выход с территории в 09:22:26. К началу смены на рабочем месте уже был (вход в чистую зону в 20:46:13).</t>
        </is>
      </c>
    </row>
    <row r="9" ht="34" customHeight="1">
      <c r="A9" s="50" t="n">
        <v>7</v>
      </c>
      <c r="B9" s="10" t="inlineStr">
        <is>
          <t>11.07 дневная (сб)</t>
        </is>
      </c>
      <c r="C9" s="10" t="inlineStr">
        <is>
          <t>11.07.2026 09:00–21:00</t>
        </is>
      </c>
      <c r="D9" s="52" t="n">
        <v>46214.35329861111</v>
      </c>
      <c r="E9" s="52" t="n">
        <v>46214.88685185185</v>
      </c>
      <c r="F9" s="34" t="n">
        <v>0.5335532407407407</v>
      </c>
      <c r="G9" s="54" t="n">
        <v>46214.3677662037</v>
      </c>
      <c r="H9" s="54" t="n">
        <v>46214.88273148148</v>
      </c>
      <c r="I9" s="34" t="n">
        <v>0</v>
      </c>
      <c r="J9" s="26" t="n">
        <v>0</v>
      </c>
      <c r="K9" s="27" t="inlineStr">
        <is>
          <t>Норма</t>
        </is>
      </c>
      <c r="L9" s="34" t="n">
        <v>0.4778356481481482</v>
      </c>
      <c r="M9" s="34" t="n">
        <v>0.4652662037037037</v>
      </c>
      <c r="N9" s="34" t="n">
        <v>0.007233796296296296</v>
      </c>
      <c r="O9" s="34" t="n">
        <v>0.005335648148148148</v>
      </c>
      <c r="P9" s="34" t="n">
        <v>0.0347337962962963</v>
      </c>
      <c r="Q9" s="60" t="n">
        <v>0.9305324074074074</v>
      </c>
      <c r="R9" s="34" t="n">
        <v>0.05571759259259259</v>
      </c>
      <c r="S9" s="10" t="inlineStr">
        <is>
          <t>13:25:48–13:59:47 (33 мин 59 сек); 19:35:42–19:47:39 (11 мин 57 сек)</t>
        </is>
      </c>
      <c r="T9" s="61" t="inlineStr">
        <is>
          <t>—</t>
        </is>
      </c>
    </row>
    <row r="10" ht="34" customHeight="1">
      <c r="A10" s="50" t="n">
        <v>8</v>
      </c>
      <c r="B10" s="10" t="inlineStr">
        <is>
          <t>12.07 дневная (вс)</t>
        </is>
      </c>
      <c r="C10" s="10" t="inlineStr">
        <is>
          <t>12.07.2026 09:00–21:00</t>
        </is>
      </c>
      <c r="D10" s="52" t="n">
        <v>46215.35071759259</v>
      </c>
      <c r="E10" s="52" t="n">
        <v>46215.88424768519</v>
      </c>
      <c r="F10" s="34" t="n">
        <v>0.5335300925925925</v>
      </c>
      <c r="G10" s="54" t="n">
        <v>46215.36630787037</v>
      </c>
      <c r="H10" s="54" t="n">
        <v>46215.87616898148</v>
      </c>
      <c r="I10" s="34" t="n">
        <v>0</v>
      </c>
      <c r="J10" s="26" t="n">
        <v>0</v>
      </c>
      <c r="K10" s="27" t="inlineStr">
        <is>
          <t>Норма</t>
        </is>
      </c>
      <c r="L10" s="34" t="n">
        <v>0.464050925925926</v>
      </c>
      <c r="M10" s="34" t="n">
        <v>0.4541898148148148</v>
      </c>
      <c r="N10" s="34" t="n">
        <v>0.00869212962962963</v>
      </c>
      <c r="O10" s="34" t="n">
        <v>0.001168981481481482</v>
      </c>
      <c r="P10" s="34" t="n">
        <v>0.04581018518518518</v>
      </c>
      <c r="Q10" s="60" t="n">
        <v>0.9083796296296296</v>
      </c>
      <c r="R10" s="34" t="n">
        <v>0.06947916666666666</v>
      </c>
      <c r="S10" s="10" t="inlineStr">
        <is>
          <t>11:32:19–12:00:01 (27 мин 42 сек); 14:26:22–14:47:12 (20 мин 50 сек); 18:39:09–18:55:31 (16 мин 22 сек)</t>
        </is>
      </c>
      <c r="T10" s="61" t="inlineStr">
        <is>
          <t>—</t>
        </is>
      </c>
    </row>
    <row r="11" ht="34" customHeight="1">
      <c r="A11" s="50" t="n">
        <v>9</v>
      </c>
      <c r="B11" s="10" t="inlineStr">
        <is>
          <t>14.07–15.07 ночная (вт–ср)</t>
        </is>
      </c>
      <c r="C11" s="10" t="inlineStr">
        <is>
          <t>14.07.2026 21:00 – 15.07.2026 09:00</t>
        </is>
      </c>
      <c r="D11" s="52" t="n">
        <v>46217.85232638889</v>
      </c>
      <c r="E11" s="52" t="n">
        <v>46218.38769675926</v>
      </c>
      <c r="F11" s="34" t="n">
        <v>0.5353703703703704</v>
      </c>
      <c r="G11" s="54" t="n">
        <v>46217.87049768519</v>
      </c>
      <c r="H11" s="54" t="n">
        <v>46218.37935185185</v>
      </c>
      <c r="I11" s="34" t="n">
        <v>0</v>
      </c>
      <c r="J11" s="26" t="n">
        <v>0</v>
      </c>
      <c r="K11" s="27" t="inlineStr">
        <is>
          <t>Норма</t>
        </is>
      </c>
      <c r="L11" s="34" t="n">
        <v>0.4898379629629629</v>
      </c>
      <c r="M11" s="34" t="n">
        <v>0.4809837962962963</v>
      </c>
      <c r="N11" s="34" t="n">
        <v>0.004502314814814815</v>
      </c>
      <c r="O11" s="34" t="n">
        <v>0.004351851851851852</v>
      </c>
      <c r="P11" s="34" t="n">
        <v>0.01901620370370371</v>
      </c>
      <c r="Q11" s="60" t="n">
        <v>0.9619675925925926</v>
      </c>
      <c r="R11" s="34" t="n">
        <v>0.04553240740740741</v>
      </c>
      <c r="S11" s="10" t="inlineStr">
        <is>
          <t>23:23:08–23:38:53 (15 мин 45 сек); 06:41:23–06:53:01 (11 мин 38 сек)</t>
        </is>
      </c>
      <c r="T11" s="61" t="inlineStr">
        <is>
          <t>—</t>
        </is>
      </c>
    </row>
    <row r="12" ht="78" customHeight="1">
      <c r="A12" s="50" t="n">
        <v>10</v>
      </c>
      <c r="B12" s="10" t="inlineStr">
        <is>
          <t>15.07–16.07 ночная (ср–чт)</t>
        </is>
      </c>
      <c r="C12" s="10" t="inlineStr">
        <is>
          <t>15.07.2026 21:00 – 16.07.2026 09:00</t>
        </is>
      </c>
      <c r="D12" s="52" t="n">
        <v>46218.85128472222</v>
      </c>
      <c r="E12" s="52" t="n">
        <v>46219.37917824074</v>
      </c>
      <c r="F12" s="34" t="n">
        <v>0.5278935185185185</v>
      </c>
      <c r="G12" s="54" t="n">
        <v>46218.86976851852</v>
      </c>
      <c r="H12" s="59" t="n">
        <v>46219.3703125</v>
      </c>
      <c r="I12" s="34" t="n">
        <v>0</v>
      </c>
      <c r="J12" s="21" t="n">
        <v>0.0046875</v>
      </c>
      <c r="K12" s="22" t="inlineStr">
        <is>
          <t>Ранний уход</t>
        </is>
      </c>
      <c r="L12" s="34" t="n">
        <v>0.4762037037037037</v>
      </c>
      <c r="M12" s="34" t="n">
        <v>0.4709722222222222</v>
      </c>
      <c r="N12" s="34" t="n">
        <v>0.005231481481481481</v>
      </c>
      <c r="O12" s="34" t="n">
        <v>0</v>
      </c>
      <c r="P12" s="34" t="n">
        <v>0.02434027777777778</v>
      </c>
      <c r="Q12" s="60" t="n">
        <v>0.9419444444444445</v>
      </c>
      <c r="R12" s="34" t="n">
        <v>0.05168981481481481</v>
      </c>
      <c r="S12" s="10" t="inlineStr">
        <is>
          <t>23:05:32–23:21:17 (15 мин 45 сек); 06:50:57–07:08:04 (17 мин 7 сек)</t>
        </is>
      </c>
      <c r="T12" s="58" t="inlineStr">
        <is>
          <t>Ранний уход с рабочего места на 6 мин 45 сек: выход из чистой зоны в 08:53:15 при окончании смены в 09:00. Далее выход с территории в 09:06:01. К началу смены на рабочем месте уже был (вход в чистую зону в 20:52:28).</t>
        </is>
      </c>
    </row>
    <row r="13" ht="50" customHeight="1">
      <c r="A13" s="50" t="n">
        <v>11</v>
      </c>
      <c r="B13" s="10" t="inlineStr">
        <is>
          <t>16.07–17.07 ночная (чт–пт)</t>
        </is>
      </c>
      <c r="C13" s="10" t="inlineStr">
        <is>
          <t>16.07.2026 21:00 – 17.07.2026 09:00</t>
        </is>
      </c>
      <c r="D13" s="52" t="n">
        <v>46219.85438657407</v>
      </c>
      <c r="E13" s="52" t="n">
        <v>46220.38925925926</v>
      </c>
      <c r="F13" s="34" t="n">
        <v>0.5348726851851852</v>
      </c>
      <c r="G13" s="62" t="n">
        <v>46220.01476851852</v>
      </c>
      <c r="H13" s="54" t="n">
        <v>46220.38033564815</v>
      </c>
      <c r="I13" s="16" t="n">
        <v>0.1397685185185185</v>
      </c>
      <c r="J13" s="26" t="n">
        <v>0</v>
      </c>
      <c r="K13" s="17" t="inlineStr">
        <is>
          <t>Опоздание</t>
        </is>
      </c>
      <c r="L13" s="34" t="n">
        <v>0.3535995370370371</v>
      </c>
      <c r="M13" s="34" t="n">
        <v>0.3482638888888889</v>
      </c>
      <c r="N13" s="34" t="n">
        <v>0</v>
      </c>
      <c r="O13" s="34" t="n">
        <v>0.005335648148148148</v>
      </c>
      <c r="P13" s="34" t="n">
        <v>0.01196759259259259</v>
      </c>
      <c r="Q13" s="60" t="n">
        <v>0.6965277777777777</v>
      </c>
      <c r="R13" s="34" t="n">
        <v>0.1812731481481482</v>
      </c>
      <c r="S13" s="10" t="inlineStr">
        <is>
          <t>06:02:08–06:19:22 (17 мин 14 сек)</t>
        </is>
      </c>
      <c r="T13" s="58" t="inlineStr">
        <is>
          <t>Опоздание на рабочее место на 3 ч 21 мин 16 сек: на территорию зашёл в 20:30:19, в чистую зону — в 00:21:16 при начале смены в 21:00.</t>
        </is>
      </c>
    </row>
    <row r="14" ht="78" customHeight="1">
      <c r="A14" s="50" t="n">
        <v>12</v>
      </c>
      <c r="B14" s="10" t="inlineStr">
        <is>
          <t>19.07 дневная (вс)</t>
        </is>
      </c>
      <c r="C14" s="10" t="inlineStr">
        <is>
          <t>19.07.2026 09:00–21:00</t>
        </is>
      </c>
      <c r="D14" s="52" t="n">
        <v>46222.35186342592</v>
      </c>
      <c r="E14" s="52" t="n">
        <v>46222.8806712963</v>
      </c>
      <c r="F14" s="34" t="n">
        <v>0.5288078703703704</v>
      </c>
      <c r="G14" s="54" t="n">
        <v>46222.36753472222</v>
      </c>
      <c r="H14" s="59" t="n">
        <v>46222.8703125</v>
      </c>
      <c r="I14" s="34" t="n">
        <v>0</v>
      </c>
      <c r="J14" s="21" t="n">
        <v>0.0046875</v>
      </c>
      <c r="K14" s="22" t="inlineStr">
        <is>
          <t>Ранний уход</t>
        </is>
      </c>
      <c r="L14" s="34" t="n">
        <v>0.4779166666666667</v>
      </c>
      <c r="M14" s="34" t="n">
        <v>0.4704513888888889</v>
      </c>
      <c r="N14" s="34" t="n">
        <v>0.007465277777777778</v>
      </c>
      <c r="O14" s="34" t="n">
        <v>0</v>
      </c>
      <c r="P14" s="34" t="n">
        <v>0.02486111111111111</v>
      </c>
      <c r="Q14" s="60" t="n">
        <v>0.9409027777777778</v>
      </c>
      <c r="R14" s="34" t="n">
        <v>0.0508912037037037</v>
      </c>
      <c r="S14" s="10" t="inlineStr">
        <is>
          <t>13:27:33–13:50:02 (22 мин 29 сек); 18:00:50–18:14:09 (13 мин 19 сек)</t>
        </is>
      </c>
      <c r="T14" s="58" t="inlineStr">
        <is>
          <t>Ранний уход с рабочего места на 6 мин 45 сек: выход из чистой зоны в 20:53:15 при окончании смены в 21:00. Далее выход с территории в 21:08:10. К началу смены на рабочем месте уже был (вход в чистую зону в 08:49:15).</t>
        </is>
      </c>
    </row>
    <row r="15" ht="34" customHeight="1">
      <c r="A15" s="50" t="n">
        <v>13</v>
      </c>
      <c r="B15" s="10" t="inlineStr">
        <is>
          <t>20.07 дневная (пн)</t>
        </is>
      </c>
      <c r="C15" s="10" t="inlineStr">
        <is>
          <t>20.07.2026 09:00–21:00</t>
        </is>
      </c>
      <c r="D15" s="52" t="n">
        <v>46223.35579861111</v>
      </c>
      <c r="E15" s="52" t="n">
        <v>46223.88690972222</v>
      </c>
      <c r="F15" s="34" t="n">
        <v>0.5311111111111111</v>
      </c>
      <c r="G15" s="54" t="n">
        <v>46223.36982638889</v>
      </c>
      <c r="H15" s="54" t="n">
        <v>46223.87871527778</v>
      </c>
      <c r="I15" s="34" t="n">
        <v>0</v>
      </c>
      <c r="J15" s="26" t="n">
        <v>0</v>
      </c>
      <c r="K15" s="27" t="inlineStr">
        <is>
          <t>Норма</t>
        </is>
      </c>
      <c r="L15" s="34" t="n">
        <v>0.4638425925925926</v>
      </c>
      <c r="M15" s="34" t="n">
        <v>0.4549537037037037</v>
      </c>
      <c r="N15" s="34" t="n">
        <v>0.005173611111111111</v>
      </c>
      <c r="O15" s="34" t="n">
        <v>0.003715277777777778</v>
      </c>
      <c r="P15" s="34" t="n">
        <v>0.0450462962962963</v>
      </c>
      <c r="Q15" s="60" t="n">
        <v>0.9099074074074074</v>
      </c>
      <c r="R15" s="34" t="n">
        <v>0.06726851851851852</v>
      </c>
      <c r="S15" s="10" t="inlineStr">
        <is>
          <t>13:13:28–13:33:02 (19 мин 34 сек); 17:22:20–17:34:58 (12 мин 38 сек); 17:35:22–17:47:51 (12 мин 29 сек); 19:58:59–20:18:08 (19 мин 9 сек)</t>
        </is>
      </c>
      <c r="T15" s="61" t="inlineStr">
        <is>
          <t>—</t>
        </is>
      </c>
    </row>
    <row r="16" ht="50" customHeight="1">
      <c r="A16" s="50" t="n">
        <v>14</v>
      </c>
      <c r="B16" s="10" t="inlineStr">
        <is>
          <t>21.07–22.07 ночная (вт–ср)</t>
        </is>
      </c>
      <c r="C16" s="10" t="inlineStr">
        <is>
          <t>21.07.2026 21:00 – 22.07.2026 09:00</t>
        </is>
      </c>
      <c r="D16" s="52" t="n">
        <v>46224.85827546296</v>
      </c>
      <c r="E16" s="52" t="n">
        <v>46225.39138888889</v>
      </c>
      <c r="F16" s="34" t="n">
        <v>0.5331134259259259</v>
      </c>
      <c r="G16" s="62" t="n">
        <v>46224.8759375</v>
      </c>
      <c r="H16" s="54" t="n">
        <v>46225.38234953704</v>
      </c>
      <c r="I16" s="16" t="n">
        <v>0.0009375</v>
      </c>
      <c r="J16" s="26" t="n">
        <v>0</v>
      </c>
      <c r="K16" s="17" t="inlineStr">
        <is>
          <t>Опоздание</t>
        </is>
      </c>
      <c r="L16" s="34" t="n">
        <v>0.4636689814814815</v>
      </c>
      <c r="M16" s="34" t="n">
        <v>0.4563194444444444</v>
      </c>
      <c r="N16" s="34" t="n">
        <v>0</v>
      </c>
      <c r="O16" s="34" t="n">
        <v>0.007349537037037037</v>
      </c>
      <c r="P16" s="34" t="n">
        <v>0.04274305555555555</v>
      </c>
      <c r="Q16" s="60" t="n">
        <v>0.9126388888888889</v>
      </c>
      <c r="R16" s="34" t="n">
        <v>0.06944444444444445</v>
      </c>
      <c r="S16" s="10" t="inlineStr">
        <is>
          <t>23:33:38–00:18:41 (45 мин 3 сек); 05:07:50–05:23:08 (15 мин 18 сек)</t>
        </is>
      </c>
      <c r="T16" s="58" t="inlineStr">
        <is>
          <t>Опоздание на рабочее место на 1 мин 21 сек: на территорию зашёл в 20:35:55, в чистую зону — в 21:01:21 при начале смены в 21:00.</t>
        </is>
      </c>
    </row>
    <row r="17" ht="34" customHeight="1">
      <c r="A17" s="50" t="n">
        <v>15</v>
      </c>
      <c r="B17" s="10" t="inlineStr">
        <is>
          <t>22.07–23.07 ночная (ср–чт)</t>
        </is>
      </c>
      <c r="C17" s="10" t="inlineStr">
        <is>
          <t>22.07.2026 21:00 – 23.07.2026 09:00</t>
        </is>
      </c>
      <c r="D17" s="52" t="n">
        <v>46225.85748842593</v>
      </c>
      <c r="E17" s="52" t="n">
        <v>46226.38858796296</v>
      </c>
      <c r="F17" s="34" t="n">
        <v>0.5310995370370371</v>
      </c>
      <c r="G17" s="54" t="n">
        <v>46225.87144675926</v>
      </c>
      <c r="H17" s="54" t="n">
        <v>46226.37755787037</v>
      </c>
      <c r="I17" s="34" t="n">
        <v>0</v>
      </c>
      <c r="J17" s="26" t="n">
        <v>0</v>
      </c>
      <c r="K17" s="27" t="inlineStr">
        <is>
          <t>Норма</t>
        </is>
      </c>
      <c r="L17" s="34" t="n">
        <v>0.4700925925925926</v>
      </c>
      <c r="M17" s="34" t="n">
        <v>0.4639814814814815</v>
      </c>
      <c r="N17" s="34" t="n">
        <v>0.003553240740740741</v>
      </c>
      <c r="O17" s="34" t="n">
        <v>0.002557870370370371</v>
      </c>
      <c r="P17" s="34" t="n">
        <v>0.03601851851851852</v>
      </c>
      <c r="Q17" s="60" t="n">
        <v>0.927962962962963</v>
      </c>
      <c r="R17" s="34" t="n">
        <v>0.06100694444444445</v>
      </c>
      <c r="S17" s="10" t="inlineStr">
        <is>
          <t>00:41:14–01:04:03 (22 мин 49 сек); 05:36:14–05:54:12 (17 мин 58 сек); 05:54:46–06:05:51 (11 мин 5 сек)</t>
        </is>
      </c>
      <c r="T17" s="61" t="inlineStr">
        <is>
          <t>—</t>
        </is>
      </c>
    </row>
    <row r="18" ht="34" customHeight="1">
      <c r="A18" s="50" t="n">
        <v>16</v>
      </c>
      <c r="B18" s="10" t="inlineStr">
        <is>
          <t>23.07–24.07 ночная (чт–пт)</t>
        </is>
      </c>
      <c r="C18" s="10" t="inlineStr">
        <is>
          <t>23.07.2026 21:00 – 24.07.2026 09:00</t>
        </is>
      </c>
      <c r="D18" s="52" t="n">
        <v>46226.85532407407</v>
      </c>
      <c r="E18" s="52" t="n">
        <v>46227.39319444444</v>
      </c>
      <c r="F18" s="34" t="n">
        <v>0.5378703703703703</v>
      </c>
      <c r="G18" s="54" t="n">
        <v>46226.87185185185</v>
      </c>
      <c r="H18" s="54" t="n">
        <v>46227.38483796296</v>
      </c>
      <c r="I18" s="34" t="n">
        <v>0</v>
      </c>
      <c r="J18" s="26" t="n">
        <v>0</v>
      </c>
      <c r="K18" s="27" t="inlineStr">
        <is>
          <t>Норма</t>
        </is>
      </c>
      <c r="L18" s="34" t="n">
        <v>0.4889120370370371</v>
      </c>
      <c r="M18" s="34" t="n">
        <v>0.4759259259259259</v>
      </c>
      <c r="N18" s="34" t="n">
        <v>0.003148148148148148</v>
      </c>
      <c r="O18" s="34" t="n">
        <v>0.009837962962962963</v>
      </c>
      <c r="P18" s="34" t="n">
        <v>0.02407407407407407</v>
      </c>
      <c r="Q18" s="60" t="n">
        <v>0.9518518518518518</v>
      </c>
      <c r="R18" s="34" t="n">
        <v>0.04895833333333333</v>
      </c>
      <c r="S18" s="10" t="inlineStr">
        <is>
          <t>01:00:29–01:29:57 (29 мин 28 сек)</t>
        </is>
      </c>
      <c r="T18" s="61" t="inlineStr">
        <is>
          <t>—</t>
        </is>
      </c>
    </row>
    <row r="19" ht="34" customHeight="1">
      <c r="A19" s="50" t="n">
        <v>17</v>
      </c>
      <c r="B19" s="10" t="inlineStr">
        <is>
          <t>25.07 дневная (сб)</t>
        </is>
      </c>
      <c r="C19" s="10" t="inlineStr">
        <is>
          <t>25.07.2026 09:00–21:00</t>
        </is>
      </c>
      <c r="D19" s="52" t="n">
        <v>46228.35166666667</v>
      </c>
      <c r="E19" s="52" t="n">
        <v>46228.88375</v>
      </c>
      <c r="F19" s="34" t="n">
        <v>0.5320833333333334</v>
      </c>
      <c r="G19" s="54" t="n">
        <v>46228.36758101852</v>
      </c>
      <c r="H19" s="54" t="n">
        <v>46228.87503472222</v>
      </c>
      <c r="I19" s="34" t="n">
        <v>0</v>
      </c>
      <c r="J19" s="26" t="n">
        <v>0</v>
      </c>
      <c r="K19" s="27" t="inlineStr">
        <is>
          <t>Норма</t>
        </is>
      </c>
      <c r="L19" s="34" t="n">
        <v>0.4797569444444444</v>
      </c>
      <c r="M19" s="34" t="n">
        <v>0.4723032407407408</v>
      </c>
      <c r="N19" s="34" t="n">
        <v>0.007418981481481481</v>
      </c>
      <c r="O19" s="34" t="n">
        <v>3.472222222222222e-05</v>
      </c>
      <c r="P19" s="34" t="n">
        <v>0.02769675925925926</v>
      </c>
      <c r="Q19" s="60" t="n">
        <v>0.9446064814814815</v>
      </c>
      <c r="R19" s="34" t="n">
        <v>0.05232638888888889</v>
      </c>
      <c r="S19" s="10" t="inlineStr">
        <is>
          <t>13:40:30–14:02:05 (21 мин 35 сек); 18:46:05–19:04:23 (18 мин 18 сек)</t>
        </is>
      </c>
      <c r="T19" s="61" t="inlineStr">
        <is>
          <t>—</t>
        </is>
      </c>
    </row>
    <row r="20" ht="78" customHeight="1">
      <c r="A20" s="50" t="n">
        <v>18</v>
      </c>
      <c r="B20" s="10" t="inlineStr">
        <is>
          <t>27.07 дневная (пн)</t>
        </is>
      </c>
      <c r="C20" s="10" t="inlineStr">
        <is>
          <t>27.07.2026 09:00–21:00</t>
        </is>
      </c>
      <c r="D20" s="52" t="n">
        <v>46230.35195601852</v>
      </c>
      <c r="E20" s="52" t="n">
        <v>46230.88871527778</v>
      </c>
      <c r="F20" s="34" t="n">
        <v>0.5367592592592593</v>
      </c>
      <c r="G20" s="54" t="n">
        <v>46230.36726851852</v>
      </c>
      <c r="H20" s="59" t="n">
        <v>46230.87012731482</v>
      </c>
      <c r="I20" s="34" t="n">
        <v>0</v>
      </c>
      <c r="J20" s="21" t="n">
        <v>0.004872685185185185</v>
      </c>
      <c r="K20" s="22" t="inlineStr">
        <is>
          <t>Ранний уход</t>
        </is>
      </c>
      <c r="L20" s="34" t="n">
        <v>0.4643518518518518</v>
      </c>
      <c r="M20" s="34" t="n">
        <v>0.4566203703703703</v>
      </c>
      <c r="N20" s="34" t="n">
        <v>0.007731481481481482</v>
      </c>
      <c r="O20" s="34" t="n">
        <v>0</v>
      </c>
      <c r="P20" s="34" t="n">
        <v>0.03850694444444445</v>
      </c>
      <c r="Q20" s="60" t="n">
        <v>0.9132407407407407</v>
      </c>
      <c r="R20" s="34" t="n">
        <v>0.07240740740740741</v>
      </c>
      <c r="S20" s="10" t="inlineStr">
        <is>
          <t>12:05:54–12:25:17 (19 мин 23 сек); 15:25:44–15:38:33 (12 мин 49 сек); 20:04:09–20:16:51 (12 мин 42 сек)</t>
        </is>
      </c>
      <c r="T20" s="58" t="inlineStr">
        <is>
          <t>Ранний уход с рабочего места на 7 мин 1 сек: выход из чистой зоны в 20:52:59 при окончании смены в 21:00. Далее выход с территории в 21:19:45. К началу смены на рабочем месте уже был (вход в чистую зону в 08:48:52).</t>
        </is>
      </c>
    </row>
    <row r="21" ht="50" customHeight="1">
      <c r="A21" s="50" t="n">
        <v>19</v>
      </c>
      <c r="B21" s="10" t="inlineStr">
        <is>
          <t>28.07 дневная (вт)</t>
        </is>
      </c>
      <c r="C21" s="10" t="inlineStr">
        <is>
          <t>28.07.2026 09:00–21:00</t>
        </is>
      </c>
      <c r="D21" s="52" t="n">
        <v>46231.35358796296</v>
      </c>
      <c r="E21" s="52" t="n">
        <v>46231.88344907408</v>
      </c>
      <c r="F21" s="34" t="n">
        <v>0.5298611111111111</v>
      </c>
      <c r="G21" s="54" t="n">
        <v>46231.36740740741</v>
      </c>
      <c r="H21" s="54" t="n">
        <v>46231.87456018518</v>
      </c>
      <c r="I21" s="34" t="n">
        <v>0</v>
      </c>
      <c r="J21" s="55" t="n">
        <v>0.0004398148148148148</v>
      </c>
      <c r="K21" s="27" t="inlineStr">
        <is>
          <t>Норма</t>
        </is>
      </c>
      <c r="L21" s="34" t="n">
        <v>0.4759722222222222</v>
      </c>
      <c r="M21" s="34" t="n">
        <v>0.4683796296296296</v>
      </c>
      <c r="N21" s="34" t="n">
        <v>0.007592592592592593</v>
      </c>
      <c r="O21" s="34" t="n">
        <v>0</v>
      </c>
      <c r="P21" s="34" t="n">
        <v>0.03118055555555556</v>
      </c>
      <c r="Q21" s="60" t="n">
        <v>0.9367592592592593</v>
      </c>
      <c r="R21" s="34" t="n">
        <v>0.05388888888888889</v>
      </c>
      <c r="S21" s="10" t="inlineStr">
        <is>
          <t>12:12:38–12:36:08 (23 мин 30 сек); 18:52:11–19:10:42 (18 мин 31 сек)</t>
        </is>
      </c>
      <c r="T21" s="63" t="inlineStr">
        <is>
          <t>Выход из чистой зоны в 20:59:22 — на 38 сек раньше 21:00. Это меньше одной минуты и как нарушение не выделено.</t>
        </is>
      </c>
    </row>
    <row r="22" ht="34" customHeight="1">
      <c r="A22" s="50" t="n">
        <v>20</v>
      </c>
      <c r="B22" s="10" t="inlineStr">
        <is>
          <t>29.07–30.07 ночная (ср–чт)</t>
        </is>
      </c>
      <c r="C22" s="10" t="inlineStr">
        <is>
          <t>29.07.2026 21:00 – 30.07.2026 09:00</t>
        </is>
      </c>
      <c r="D22" s="52" t="n">
        <v>46232.85123842592</v>
      </c>
      <c r="E22" s="52" t="n">
        <v>46233.39046296296</v>
      </c>
      <c r="F22" s="34" t="n">
        <v>0.539224537037037</v>
      </c>
      <c r="G22" s="54" t="n">
        <v>46232.86263888889</v>
      </c>
      <c r="H22" s="54" t="n">
        <v>46233.37594907408</v>
      </c>
      <c r="I22" s="34" t="n">
        <v>0</v>
      </c>
      <c r="J22" s="26" t="n">
        <v>0</v>
      </c>
      <c r="K22" s="27" t="inlineStr">
        <is>
          <t>Норма</t>
        </is>
      </c>
      <c r="L22" s="34" t="n">
        <v>0.4769212962962963</v>
      </c>
      <c r="M22" s="34" t="n">
        <v>0.4636111111111111</v>
      </c>
      <c r="N22" s="34" t="n">
        <v>0.01236111111111111</v>
      </c>
      <c r="O22" s="34" t="n">
        <v>0.0009490740740740741</v>
      </c>
      <c r="P22" s="34" t="n">
        <v>0.03638888888888889</v>
      </c>
      <c r="Q22" s="60" t="n">
        <v>0.9272222222222222</v>
      </c>
      <c r="R22" s="34" t="n">
        <v>0.06230324074074074</v>
      </c>
      <c r="S22" s="10" t="inlineStr">
        <is>
          <t>00:59:03–01:48:59 (49 мин 56 сек)</t>
        </is>
      </c>
      <c r="T22" s="61" t="inlineStr">
        <is>
          <t>—</t>
        </is>
      </c>
    </row>
    <row r="23" ht="78" customHeight="1">
      <c r="A23" s="50" t="n">
        <v>21</v>
      </c>
      <c r="B23" s="10" t="inlineStr">
        <is>
          <t>30.07–31.07 ночная (чт–пт)</t>
        </is>
      </c>
      <c r="C23" s="10" t="inlineStr">
        <is>
          <t>30.07.2026 21:00 – 31.07.2026 09:00</t>
        </is>
      </c>
      <c r="D23" s="52" t="n">
        <v>46233.85100694445</v>
      </c>
      <c r="E23" s="52" t="n">
        <v>46234.3796875</v>
      </c>
      <c r="F23" s="34" t="n">
        <v>0.5286805555555556</v>
      </c>
      <c r="G23" s="54" t="n">
        <v>46233.86853009259</v>
      </c>
      <c r="H23" s="59" t="n">
        <v>46234.3690162037</v>
      </c>
      <c r="I23" s="34" t="n">
        <v>0</v>
      </c>
      <c r="J23" s="21" t="n">
        <v>0.005983796296296296</v>
      </c>
      <c r="K23" s="22" t="inlineStr">
        <is>
          <t>Ранний уход</t>
        </is>
      </c>
      <c r="L23" s="34" t="n">
        <v>0.4476273148148148</v>
      </c>
      <c r="M23" s="34" t="n">
        <v>0.4411574074074074</v>
      </c>
      <c r="N23" s="34" t="n">
        <v>0.006469907407407408</v>
      </c>
      <c r="O23" s="34" t="n">
        <v>0</v>
      </c>
      <c r="P23" s="34" t="n">
        <v>0.0528587962962963</v>
      </c>
      <c r="Q23" s="60" t="n">
        <v>0.8823148148148148</v>
      </c>
      <c r="R23" s="34" t="n">
        <v>0.08105324074074075</v>
      </c>
      <c r="S23" s="10" t="inlineStr">
        <is>
          <t>01:01:38–01:40:18 (38 мин 40 сек); 06:31:38–07:09:05 (37 мин 27 сек)</t>
        </is>
      </c>
      <c r="T23" s="58" t="inlineStr">
        <is>
          <t>Ранний уход с рабочего места на 8 мин 37 сек: выход из чистой зоны в 08:51:23 при окончании смены в 09:00. Далее выход с территории в 09:06:45. К началу смены на рабочем месте уже был (вход в чистую зону в 20:50:41).</t>
        </is>
      </c>
    </row>
    <row r="24" ht="78" customHeight="1">
      <c r="A24" s="50" t="n">
        <v>22</v>
      </c>
      <c r="B24" s="10" t="inlineStr">
        <is>
          <t>31.07–01.08 ночная (пт–сб)</t>
        </is>
      </c>
      <c r="C24" s="10" t="inlineStr">
        <is>
          <t>31.07.2026 21:00 – 01.08.2026 09:00</t>
        </is>
      </c>
      <c r="D24" s="52" t="n">
        <v>46234.85603009259</v>
      </c>
      <c r="E24" s="52" t="n">
        <v>46235.37918981481</v>
      </c>
      <c r="F24" s="34" t="n">
        <v>0.5231597222222222</v>
      </c>
      <c r="G24" s="54" t="n">
        <v>46234.87231481481</v>
      </c>
      <c r="H24" s="59" t="n">
        <v>46235.36846064815</v>
      </c>
      <c r="I24" s="34" t="n">
        <v>0</v>
      </c>
      <c r="J24" s="21" t="n">
        <v>0.006539351851851852</v>
      </c>
      <c r="K24" s="22" t="inlineStr">
        <is>
          <t>Ранний уход</t>
        </is>
      </c>
      <c r="L24" s="34" t="n">
        <v>0.4436342592592593</v>
      </c>
      <c r="M24" s="34" t="n">
        <v>0.4409490740740741</v>
      </c>
      <c r="N24" s="34" t="n">
        <v>0.002685185185185185</v>
      </c>
      <c r="O24" s="34" t="n">
        <v>0</v>
      </c>
      <c r="P24" s="34" t="n">
        <v>0.05251157407407407</v>
      </c>
      <c r="Q24" s="60" t="n">
        <v>0.8818981481481482</v>
      </c>
      <c r="R24" s="34" t="n">
        <v>0.07952546296296296</v>
      </c>
      <c r="S24" s="10" t="inlineStr">
        <is>
          <t>23:24:42–23:43:15 (18 мин 33 сек); 01:29:09–02:12:50 (43 мин 41 сек); 06:18:13–06:31:36 (13 мин 23 сек)</t>
        </is>
      </c>
      <c r="T24" s="58" t="inlineStr">
        <is>
          <t>Ранний уход с рабочего места на 9 мин 25 сек: выход из чистой зоны в 08:50:35 при окончании смены в 09:00. Далее выход с территории в 09:06:02. К началу смены на рабочем месте уже был (вход в чистую зону в 20:56:08).</t>
        </is>
      </c>
    </row>
    <row r="25" ht="78" customHeight="1">
      <c r="A25" s="50" t="n">
        <v>23</v>
      </c>
      <c r="B25" s="10" t="inlineStr">
        <is>
          <t>20.08 дневная (чт)</t>
        </is>
      </c>
      <c r="C25" s="10" t="inlineStr">
        <is>
          <t>20.08.2026 09:00–21:00</t>
        </is>
      </c>
      <c r="D25" s="52" t="n">
        <v>46254.35322916666</v>
      </c>
      <c r="E25" s="52" t="n">
        <v>46254.87574074074</v>
      </c>
      <c r="F25" s="34" t="n">
        <v>0.5225115740740741</v>
      </c>
      <c r="G25" s="54" t="n">
        <v>46254.36984953703</v>
      </c>
      <c r="H25" s="59" t="n">
        <v>46254.86581018518</v>
      </c>
      <c r="I25" s="34" t="n">
        <v>0</v>
      </c>
      <c r="J25" s="21" t="n">
        <v>0.009189814814814816</v>
      </c>
      <c r="K25" s="22" t="inlineStr">
        <is>
          <t>Ранний уход</t>
        </is>
      </c>
      <c r="L25" s="34" t="n">
        <v>0.4334953703703704</v>
      </c>
      <c r="M25" s="34" t="n">
        <v>0.4283449074074074</v>
      </c>
      <c r="N25" s="34" t="n">
        <v>0.005150462962962963</v>
      </c>
      <c r="O25" s="34" t="n">
        <v>0</v>
      </c>
      <c r="P25" s="34" t="n">
        <v>0.06246527777777778</v>
      </c>
      <c r="Q25" s="60" t="n">
        <v>0.8566898148148148</v>
      </c>
      <c r="R25" s="34" t="n">
        <v>0.08901620370370371</v>
      </c>
      <c r="S25" s="10" t="inlineStr">
        <is>
          <t>11:03:49–12:07:46 (1 ч 3 мин 57 сек); 18:46:51–19:07:27 (20 мин 36 сек)</t>
        </is>
      </c>
      <c r="T25" s="58" t="inlineStr">
        <is>
          <t>Ранний уход с рабочего места на 13 мин 14 сек: выход из чистой зоны в 20:46:46 при окончании смены в 21:00. Далее выход с территории в 21:01:04. К началу смены на рабочем месте уже был (вход в чистую зону в 08:52:35).</t>
        </is>
      </c>
    </row>
    <row r="26" ht="78" customHeight="1">
      <c r="A26" s="50" t="n">
        <v>24</v>
      </c>
      <c r="B26" s="10" t="inlineStr">
        <is>
          <t>21.08 дневная (пт)</t>
        </is>
      </c>
      <c r="C26" s="10" t="inlineStr">
        <is>
          <t>21.08.2026 09:00–21:00</t>
        </is>
      </c>
      <c r="D26" s="52" t="n">
        <v>46255.35085648148</v>
      </c>
      <c r="E26" s="52" t="n">
        <v>46255.88052083334</v>
      </c>
      <c r="F26" s="34" t="n">
        <v>0.5296643518518519</v>
      </c>
      <c r="G26" s="54" t="n">
        <v>46255.36524305555</v>
      </c>
      <c r="H26" s="59" t="n">
        <v>46255.87177083334</v>
      </c>
      <c r="I26" s="34" t="n">
        <v>0</v>
      </c>
      <c r="J26" s="21" t="n">
        <v>0.003229166666666667</v>
      </c>
      <c r="K26" s="22" t="inlineStr">
        <is>
          <t>Ранний уход</t>
        </is>
      </c>
      <c r="L26" s="34" t="n">
        <v>0.4396759259259259</v>
      </c>
      <c r="M26" s="34" t="n">
        <v>0.4299189814814815</v>
      </c>
      <c r="N26" s="34" t="n">
        <v>0.009756944444444445</v>
      </c>
      <c r="O26" s="34" t="n">
        <v>0</v>
      </c>
      <c r="P26" s="34" t="n">
        <v>0.06685185185185186</v>
      </c>
      <c r="Q26" s="60" t="n">
        <v>0.859837962962963</v>
      </c>
      <c r="R26" s="34" t="n">
        <v>0.08998842592592593</v>
      </c>
      <c r="S26" s="10" t="inlineStr">
        <is>
          <t>11:24:30–12:16:49 (52 мин 19 сек); 19:08:30–19:47:56 (39 мин 26 сек)</t>
        </is>
      </c>
      <c r="T26" s="58" t="inlineStr">
        <is>
          <t>Ранний уход с рабочего места на 4 мин 39 сек: выход из чистой зоны в 20:55:21 при окончании смены в 21:00. Далее выход с территории в 21:07:57. К началу смены на рабочем месте уже был (вход в чистую зону в 08:45:57).</t>
        </is>
      </c>
    </row>
    <row r="27" ht="78" customHeight="1">
      <c r="A27" s="50" t="n">
        <v>25</v>
      </c>
      <c r="B27" s="10" t="inlineStr">
        <is>
          <t>23.08–24.08 ночная (вс–пн)</t>
        </is>
      </c>
      <c r="C27" s="10" t="inlineStr">
        <is>
          <t>23.08.2026 21:00 – 24.08.2026 09:00</t>
        </is>
      </c>
      <c r="D27" s="52" t="n">
        <v>46257.85145833333</v>
      </c>
      <c r="E27" s="52" t="n">
        <v>46258.38690972222</v>
      </c>
      <c r="F27" s="34" t="n">
        <v>0.5354513888888889</v>
      </c>
      <c r="G27" s="54" t="n">
        <v>46257.86759259259</v>
      </c>
      <c r="H27" s="59" t="n">
        <v>46258.36784722222</v>
      </c>
      <c r="I27" s="34" t="n">
        <v>0</v>
      </c>
      <c r="J27" s="21" t="n">
        <v>0.007152777777777778</v>
      </c>
      <c r="K27" s="22" t="inlineStr">
        <is>
          <t>Ранний уход</t>
        </is>
      </c>
      <c r="L27" s="34" t="n">
        <v>0.4394212962962963</v>
      </c>
      <c r="M27" s="34" t="n">
        <v>0.4320138888888889</v>
      </c>
      <c r="N27" s="34" t="n">
        <v>0.007407407407407408</v>
      </c>
      <c r="O27" s="34" t="n">
        <v>0</v>
      </c>
      <c r="P27" s="34" t="n">
        <v>0.06083333333333334</v>
      </c>
      <c r="Q27" s="60" t="n">
        <v>0.8640277777777777</v>
      </c>
      <c r="R27" s="34" t="n">
        <v>0.0960300925925926</v>
      </c>
      <c r="S27" s="10" t="inlineStr">
        <is>
          <t>01:41:42–02:32:28 (50 мин 46 сек); 06:38:31–07:15:21 (36 мин 50 сек)</t>
        </is>
      </c>
      <c r="T27" s="58" t="inlineStr">
        <is>
          <t>Ранний уход с рабочего места на 10 мин 18 сек: выход из чистой зоны в 08:49:42 при окончании смены в 09:00. Далее выход с территории в 09:17:09. К началу смены на рабочем месте уже был (вход в чистую зону в 20:49:20).</t>
        </is>
      </c>
    </row>
    <row r="28" ht="78" customHeight="1">
      <c r="A28" s="50" t="n">
        <v>26</v>
      </c>
      <c r="B28" s="10" t="inlineStr">
        <is>
          <t>24.08–25.08 ночная (пн–вт)</t>
        </is>
      </c>
      <c r="C28" s="10" t="inlineStr">
        <is>
          <t>24.08.2026 21:00 – 25.08.2026 09:00</t>
        </is>
      </c>
      <c r="D28" s="52" t="n">
        <v>46258.85050925926</v>
      </c>
      <c r="E28" s="52" t="n">
        <v>46259.38119212963</v>
      </c>
      <c r="F28" s="34" t="n">
        <v>0.5306828703703703</v>
      </c>
      <c r="G28" s="54" t="n">
        <v>46258.86881944445</v>
      </c>
      <c r="H28" s="59" t="n">
        <v>46259.37048611111</v>
      </c>
      <c r="I28" s="34" t="n">
        <v>0</v>
      </c>
      <c r="J28" s="21" t="n">
        <v>0.004513888888888888</v>
      </c>
      <c r="K28" s="22" t="inlineStr">
        <is>
          <t>Ранний уход</t>
        </is>
      </c>
      <c r="L28" s="34" t="n">
        <v>0.4642476851851852</v>
      </c>
      <c r="M28" s="34" t="n">
        <v>0.4580671296296296</v>
      </c>
      <c r="N28" s="34" t="n">
        <v>0.006180555555555555</v>
      </c>
      <c r="O28" s="34" t="n">
        <v>0</v>
      </c>
      <c r="P28" s="34" t="n">
        <v>0.03741898148148148</v>
      </c>
      <c r="Q28" s="60" t="n">
        <v>0.9161342592592593</v>
      </c>
      <c r="R28" s="34" t="n">
        <v>0.06643518518518518</v>
      </c>
      <c r="S28" s="10" t="inlineStr">
        <is>
          <t>23:13:31–23:29:50 (16 мин 19 сек); 03:05:58–03:25:06 (19 мин 8 сек); 05:56:18–06:13:30 (17 мин 12 сек)</t>
        </is>
      </c>
      <c r="T28" s="58" t="inlineStr">
        <is>
          <t>Ранний уход с рабочего места на 6 мин 30 сек: выход из чистой зоны в 08:53:30 при окончании смены в 09:00. Далее выход с территории в 09:08:55. К началу смены на рабочем месте уже был (вход в чистую зону в 20:51:06).</t>
        </is>
      </c>
    </row>
    <row r="29" ht="78" customHeight="1">
      <c r="A29" s="50" t="n">
        <v>27</v>
      </c>
      <c r="B29" s="10" t="inlineStr">
        <is>
          <t>28.08 дневная (пт)</t>
        </is>
      </c>
      <c r="C29" s="10" t="inlineStr">
        <is>
          <t>28.08.2026 09:00–21:00</t>
        </is>
      </c>
      <c r="D29" s="52" t="n">
        <v>46262.35131944445</v>
      </c>
      <c r="E29" s="52" t="n">
        <v>46262.88416666666</v>
      </c>
      <c r="F29" s="34" t="n">
        <v>0.5328472222222222</v>
      </c>
      <c r="G29" s="54" t="n">
        <v>46262.36670138889</v>
      </c>
      <c r="H29" s="59" t="n">
        <v>46262.87347222222</v>
      </c>
      <c r="I29" s="34" t="n">
        <v>0</v>
      </c>
      <c r="J29" s="21" t="n">
        <v>0.001527777777777778</v>
      </c>
      <c r="K29" s="22" t="inlineStr">
        <is>
          <t>Ранний уход</t>
        </is>
      </c>
      <c r="L29" s="34" t="n">
        <v>0.4584837962962963</v>
      </c>
      <c r="M29" s="34" t="n">
        <v>0.4501851851851852</v>
      </c>
      <c r="N29" s="34" t="n">
        <v>0.008298611111111111</v>
      </c>
      <c r="O29" s="34" t="n">
        <v>0</v>
      </c>
      <c r="P29" s="34" t="n">
        <v>0.04828703703703704</v>
      </c>
      <c r="Q29" s="60" t="n">
        <v>0.9003703703703704</v>
      </c>
      <c r="R29" s="34" t="n">
        <v>0.07436342592592593</v>
      </c>
      <c r="S29" s="10" t="inlineStr">
        <is>
          <t>12:04:14–12:56:43 (52 мин 29 сек); 18:45:01–18:59:29 (14 мин 28 сек)</t>
        </is>
      </c>
      <c r="T29" s="58" t="inlineStr">
        <is>
          <t>Ранний уход с рабочего места на 2 мин 12 сек: выход из чистой зоны в 20:57:48 при окончании смены в 21:00. Далее выход с территории в 21:13:12. К началу смены на рабочем месте уже был (вход в чистую зону в 08:48:03).</t>
        </is>
      </c>
    </row>
    <row r="30" ht="50" customHeight="1">
      <c r="A30" s="50" t="n">
        <v>28</v>
      </c>
      <c r="B30" s="10" t="inlineStr">
        <is>
          <t>29.08 дневная (сб)</t>
        </is>
      </c>
      <c r="C30" s="10" t="inlineStr">
        <is>
          <t>29.08.2026 09:00–21:00</t>
        </is>
      </c>
      <c r="D30" s="52" t="n">
        <v>46263.34667824074</v>
      </c>
      <c r="E30" s="52" t="n">
        <v>46263.8853125</v>
      </c>
      <c r="F30" s="34" t="n">
        <v>0.5386342592592592</v>
      </c>
      <c r="G30" s="54" t="n">
        <v>46263.3646875</v>
      </c>
      <c r="H30" s="59" t="n">
        <v>46263.86400462963</v>
      </c>
      <c r="I30" s="34" t="n">
        <v>0</v>
      </c>
      <c r="J30" s="21" t="n">
        <v>0.01099537037037037</v>
      </c>
      <c r="K30" s="22" t="inlineStr">
        <is>
          <t>Ранний уход</t>
        </is>
      </c>
      <c r="L30" s="34" t="n">
        <v>0.4750462962962963</v>
      </c>
      <c r="M30" s="34" t="n">
        <v>0.4647337962962963</v>
      </c>
      <c r="N30" s="34" t="n">
        <v>0.0103125</v>
      </c>
      <c r="O30" s="34" t="n">
        <v>0</v>
      </c>
      <c r="P30" s="34" t="n">
        <v>0.02427083333333333</v>
      </c>
      <c r="Q30" s="60" t="n">
        <v>0.9294675925925926</v>
      </c>
      <c r="R30" s="34" t="n">
        <v>0.06358796296296296</v>
      </c>
      <c r="S30" s="10" t="inlineStr">
        <is>
          <t>11:53:05–12:21:14 (28 мин 9 сек)</t>
        </is>
      </c>
      <c r="T30" s="58" t="inlineStr">
        <is>
          <t>Ранний уход с рабочего места на 15 мин 50 сек: выход из чистой зоны в 20:44:10 при окончании смены в 21:00. Далее выход с территории в 21:14:51. К началу смены на рабочем месте уже был (вход в чистую зону в 08:45:09).</t>
        </is>
      </c>
    </row>
    <row r="31" ht="78" customHeight="1">
      <c r="A31" s="50" t="n">
        <v>29</v>
      </c>
      <c r="B31" s="10" t="inlineStr">
        <is>
          <t>30.08–31.08 ночная (вс–пн)</t>
        </is>
      </c>
      <c r="C31" s="10" t="inlineStr">
        <is>
          <t>30.08.2026 21:00 – 31.08.2026 09:00</t>
        </is>
      </c>
      <c r="D31" s="52" t="n">
        <v>46264.85085648148</v>
      </c>
      <c r="E31" s="52" t="n">
        <v>46265.3712037037</v>
      </c>
      <c r="F31" s="34" t="n">
        <v>0.5203472222222222</v>
      </c>
      <c r="G31" s="54" t="n">
        <v>46264.87263888889</v>
      </c>
      <c r="H31" s="59" t="n">
        <v>46265.36237268519</v>
      </c>
      <c r="I31" s="34" t="n">
        <v>0</v>
      </c>
      <c r="J31" s="21" t="n">
        <v>0.01262731481481482</v>
      </c>
      <c r="K31" s="22" t="inlineStr">
        <is>
          <t>Ранний уход</t>
        </is>
      </c>
      <c r="L31" s="34" t="n">
        <v>0.4594907407407408</v>
      </c>
      <c r="M31" s="34" t="n">
        <v>0.4571296296296296</v>
      </c>
      <c r="N31" s="34" t="n">
        <v>0.002361111111111111</v>
      </c>
      <c r="O31" s="34" t="n">
        <v>0</v>
      </c>
      <c r="P31" s="34" t="n">
        <v>0.03024305555555555</v>
      </c>
      <c r="Q31" s="60" t="n">
        <v>0.9142592592592592</v>
      </c>
      <c r="R31" s="34" t="n">
        <v>0.06085648148148148</v>
      </c>
      <c r="S31" s="10" t="inlineStr">
        <is>
          <t>23:15:11–23:29:04 (13 мин 53 сек); 05:31:41–05:59:08 (27 мин 27 сек)</t>
        </is>
      </c>
      <c r="T31" s="58" t="inlineStr">
        <is>
          <t>Ранний уход с рабочего места на 18 мин 11 сек: выход из чистой зоны в 08:41:49 при окончании смены в 09:00. Далее выход с территории в 08:54:32. К началу смены на рабочем месте уже был (вход в чистую зону в 20:56:36).</t>
        </is>
      </c>
    </row>
    <row r="32" ht="50" customHeight="1">
      <c r="A32" s="50" t="n">
        <v>30</v>
      </c>
      <c r="B32" s="10" t="inlineStr">
        <is>
          <t>31.08–01.09 ночная (пн–вт) *</t>
        </is>
      </c>
      <c r="C32" s="10" t="inlineStr">
        <is>
          <t>31.08.2026 21:00 – 01.09.2026 09:00</t>
        </is>
      </c>
      <c r="D32" s="52" t="n">
        <v>46265.85018518518</v>
      </c>
      <c r="E32" s="51" t="inlineStr">
        <is>
          <t>нет в журнале</t>
        </is>
      </c>
      <c r="F32" s="53" t="n"/>
      <c r="G32" s="54" t="n">
        <v>46265.87070601852</v>
      </c>
      <c r="H32" s="51" t="inlineStr">
        <is>
          <t>нет в журнале</t>
        </is>
      </c>
      <c r="I32" s="34" t="n">
        <v>0</v>
      </c>
      <c r="J32" s="64" t="n"/>
      <c r="K32" s="56" t="inlineStr">
        <is>
          <t>Неполные данные</t>
        </is>
      </c>
      <c r="L32" s="34" t="n">
        <v>0.1047800925925926</v>
      </c>
      <c r="M32" s="53" t="n"/>
      <c r="N32" s="53" t="n"/>
      <c r="O32" s="53" t="n"/>
      <c r="P32" s="53" t="n"/>
      <c r="Q32" s="57" t="n"/>
      <c r="R32" s="53" t="n"/>
      <c r="S32" s="10" t="inlineStr">
        <is>
          <t>22:41:18–22:57:10 (15 мин 52 сек)</t>
        </is>
      </c>
      <c r="T32" s="58" t="inlineStr">
        <is>
          <t>Журнал обрывается на входе в чистую зону 31.08.2026 в 23:41:46. Выхода из чистой зоны и выхода с территории дальше нет, поэтому время ухода неизвестно. В строке посчитаны только закрытые интервалы до этого входа. В общий итог смена не входит.</t>
        </is>
      </c>
    </row>
    <row r="34" ht="32" customHeight="1">
      <c r="A34" s="65" t="inlineStr"/>
      <c r="B34" s="66" t="inlineStr">
        <is>
          <t>Итого по 28 полным сменам. Строки «Неполные данные» в сумму не входят.</t>
        </is>
      </c>
      <c r="C34" s="65" t="n"/>
      <c r="D34" s="65" t="n"/>
      <c r="E34" s="65" t="n"/>
      <c r="F34" s="67">
        <f>SUMIF($K$3:$K$32,"&lt;&gt;Неполные данные",F3:F32)</f>
        <v/>
      </c>
      <c r="G34" s="65" t="n"/>
      <c r="H34" s="65" t="n"/>
      <c r="I34" s="67">
        <f>SUMIF($K$3:$K$32,"&lt;&gt;Неполные данные",I3:I32)</f>
        <v/>
      </c>
      <c r="J34" s="67">
        <f>SUMIF($K$3:$K$32,"&lt;&gt;Неполные данные",J3:J32)</f>
        <v/>
      </c>
      <c r="K34" s="65" t="n"/>
      <c r="L34" s="67">
        <f>SUMIF($K$3:$K$32,"&lt;&gt;Неполные данные",L3:L32)</f>
        <v/>
      </c>
      <c r="M34" s="67">
        <f>SUMIF($K$3:$K$32,"&lt;&gt;Неполные данные",M3:M32)</f>
        <v/>
      </c>
      <c r="N34" s="67">
        <f>SUMIF($K$3:$K$32,"&lt;&gt;Неполные данные",N3:N32)</f>
        <v/>
      </c>
      <c r="O34" s="67">
        <f>SUMIF($K$3:$K$32,"&lt;&gt;Неполные данные",O3:O32)</f>
        <v/>
      </c>
      <c r="P34" s="67">
        <f>SUMIF($K$3:$K$32,"&lt;&gt;Неполные данные",P3:P32)</f>
        <v/>
      </c>
      <c r="Q34" s="68">
        <f>AVERAGE(Q3:Q32)</f>
        <v/>
      </c>
      <c r="R34" s="67">
        <f>SUMIF($K$3:$K$32,"&lt;&gt;Неполные данные",R3:R32)</f>
        <v/>
      </c>
      <c r="S34" s="65" t="n"/>
      <c r="T34" s="65" t="n"/>
    </row>
    <row r="35" ht="32" customHeight="1">
      <c r="B35" s="69" t="inlineStr">
        <is>
          <t>Неполные смены в итог не включены: по ним не виден либо приход, либо уход. Сумма колонки «Ранний уход» включает и уходы короче одной минуты; как нарушение на листе «Итоги» посчитаны только уходы от 1 минуты.</t>
        </is>
      </c>
    </row>
  </sheetData>
  <autoFilter ref="A2:T32"/>
  <mergeCells count="8">
    <mergeCell ref="L1:Q1"/>
    <mergeCell ref="A1:C1"/>
    <mergeCell ref="G1:H1"/>
    <mergeCell ref="R1"/>
    <mergeCell ref="S1:T1"/>
    <mergeCell ref="I1:K1"/>
    <mergeCell ref="B35:T35"/>
    <mergeCell ref="D1:F1"/>
  </mergeCells>
  <conditionalFormatting sqref="Q3:Q32">
    <cfRule type="dataBar" priority="1">
      <dataBar showValue="1">
        <cfvo type="num" val="0"/>
        <cfvo type="num" val="1"/>
        <color rgb="001E7A46"/>
      </dataBar>
    </cfRule>
  </conditionalFormatting>
  <pageMargins left="0.75" right="0.75" top="1" bottom="1" header="0.5" footer="0.5"/>
  <pageSetup orientation="landscape" paperSize="8" scale="60" fitToHeight="1" fitToWidth="1" horizontalDpi="300" verticalDpi="300"/>
  <headerFooter>
    <oddHeader>&amp;LНахождение на рабочем месте</oddHeader>
    <oddFooter>&amp;RСтр.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8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22" customWidth="1" min="4" max="4"/>
    <col width="16" customWidth="1" min="5" max="5"/>
    <col width="62" customWidth="1" min="6" max="6"/>
    <col width="26" customWidth="1" min="7" max="7"/>
  </cols>
  <sheetData>
    <row r="1" ht="24" customHeight="1">
      <c r="A1" s="70" t="inlineStr">
        <is>
          <t>№</t>
        </is>
      </c>
      <c r="B1" s="70" t="inlineStr">
        <is>
          <t>Смена</t>
        </is>
      </c>
      <c r="C1" s="70" t="inlineStr">
        <is>
          <t>С</t>
        </is>
      </c>
      <c r="D1" s="70" t="inlineStr">
        <is>
          <t>По</t>
        </is>
      </c>
      <c r="E1" s="70" t="inlineStr">
        <is>
          <t>Длительность</t>
        </is>
      </c>
      <c r="F1" s="70" t="inlineStr">
        <is>
          <t>Что это</t>
        </is>
      </c>
      <c r="G1" s="70" t="inlineStr">
        <is>
          <t>Попадает в график смены</t>
        </is>
      </c>
    </row>
    <row r="2" ht="22" customHeight="1">
      <c r="A2" s="57" t="n">
        <v>1</v>
      </c>
      <c r="B2" s="71" t="inlineStr">
        <is>
          <t>30.06–01.07 ночная (вт–ср)</t>
        </is>
      </c>
      <c r="C2" s="72" t="n">
        <v>46204.09458333333</v>
      </c>
      <c r="D2" s="72" t="n">
        <v>46204.09622685185</v>
      </c>
      <c r="E2" s="64" t="n">
        <v>0.001643518518518519</v>
      </c>
      <c r="F2" s="71" t="inlineStr">
        <is>
          <t>Был вне чистой зоны (когда зашёл до этого — неизвестно)</t>
        </is>
      </c>
      <c r="G2" s="64" t="n">
        <v>0.001643518518518519</v>
      </c>
    </row>
    <row r="3" ht="22" customHeight="1">
      <c r="A3" s="50" t="n">
        <v>2</v>
      </c>
      <c r="B3" s="10" t="inlineStr">
        <is>
          <t>30.06–01.07 ночная (вт–ср)</t>
        </is>
      </c>
      <c r="C3" s="52" t="n">
        <v>46204.2855324074</v>
      </c>
      <c r="D3" s="52" t="n">
        <v>46204.29585648148</v>
      </c>
      <c r="E3" s="73" t="n">
        <v>0.01032407407407407</v>
      </c>
      <c r="F3" s="10" t="inlineStr">
        <is>
          <t>Отлучка с рабочего места</t>
        </is>
      </c>
      <c r="G3" s="34" t="n">
        <v>0.01032407407407407</v>
      </c>
    </row>
    <row r="4" ht="22" customHeight="1">
      <c r="A4" s="74" t="n">
        <v>3</v>
      </c>
      <c r="B4" s="38" t="inlineStr">
        <is>
          <t>30.06–01.07 ночная (вт–ср)</t>
        </is>
      </c>
      <c r="C4" s="75" t="n">
        <v>46204.37451388889</v>
      </c>
      <c r="D4" s="75" t="n">
        <v>46204.375</v>
      </c>
      <c r="E4" s="76" t="n">
        <v>0.0004861111111111111</v>
      </c>
      <c r="F4" s="63" t="inlineStr">
        <is>
          <t>Ранний уход: уже не на рабочем месте</t>
        </is>
      </c>
      <c r="G4" s="76" t="n">
        <v>0.0004861111111111111</v>
      </c>
    </row>
    <row r="5" ht="22" customHeight="1">
      <c r="A5" s="50" t="n">
        <v>4</v>
      </c>
      <c r="B5" s="10" t="inlineStr">
        <is>
          <t>03.07 дневная (пт)</t>
        </is>
      </c>
      <c r="C5" s="52" t="n">
        <v>46206.45542824074</v>
      </c>
      <c r="D5" s="52" t="n">
        <v>46206.45638888889</v>
      </c>
      <c r="E5" s="34" t="n">
        <v>0.0009606481481481482</v>
      </c>
      <c r="F5" s="10" t="inlineStr">
        <is>
          <t>Отлучка с рабочего места</t>
        </is>
      </c>
      <c r="G5" s="34" t="n">
        <v>0.0009606481481481482</v>
      </c>
    </row>
    <row r="6" ht="22" customHeight="1">
      <c r="A6" s="50" t="n">
        <v>5</v>
      </c>
      <c r="B6" s="10" t="inlineStr">
        <is>
          <t>03.07 дневная (пт)</t>
        </is>
      </c>
      <c r="C6" s="52" t="n">
        <v>46206.54399305556</v>
      </c>
      <c r="D6" s="52" t="n">
        <v>46206.55710648148</v>
      </c>
      <c r="E6" s="73" t="n">
        <v>0.01311342592592593</v>
      </c>
      <c r="F6" s="10" t="inlineStr">
        <is>
          <t>Отлучка с рабочего места</t>
        </is>
      </c>
      <c r="G6" s="34" t="n">
        <v>0.01311342592592593</v>
      </c>
    </row>
    <row r="7" ht="22" customHeight="1">
      <c r="A7" s="50" t="n">
        <v>6</v>
      </c>
      <c r="B7" s="10" t="inlineStr">
        <is>
          <t>03.07 дневная (пт)</t>
        </is>
      </c>
      <c r="C7" s="52" t="n">
        <v>46206.69793981482</v>
      </c>
      <c r="D7" s="52" t="n">
        <v>46206.7000462963</v>
      </c>
      <c r="E7" s="34" t="n">
        <v>0.002106481481481481</v>
      </c>
      <c r="F7" s="10" t="inlineStr">
        <is>
          <t>Отлучка с рабочего места</t>
        </is>
      </c>
      <c r="G7" s="34" t="n">
        <v>0.002106481481481481</v>
      </c>
    </row>
    <row r="8" ht="22" customHeight="1">
      <c r="A8" s="35" t="n">
        <v>7</v>
      </c>
      <c r="B8" s="20" t="inlineStr">
        <is>
          <t>03.07 дневная (пт)</t>
        </is>
      </c>
      <c r="C8" s="77" t="n">
        <v>46206.86743055555</v>
      </c>
      <c r="D8" s="77" t="n">
        <v>46206.875</v>
      </c>
      <c r="E8" s="78" t="n">
        <v>0.007569444444444445</v>
      </c>
      <c r="F8" s="79" t="inlineStr">
        <is>
          <t>Ранний уход: уже не на рабочем месте</t>
        </is>
      </c>
      <c r="G8" s="78" t="n">
        <v>0.007569444444444445</v>
      </c>
    </row>
    <row r="9" ht="22" customHeight="1">
      <c r="A9" s="35" t="n">
        <v>8</v>
      </c>
      <c r="B9" s="20" t="inlineStr">
        <is>
          <t>04.07 дневная (сб)</t>
        </is>
      </c>
      <c r="C9" s="77" t="n">
        <v>46207.45238425926</v>
      </c>
      <c r="D9" s="77" t="n">
        <v>46207.875</v>
      </c>
      <c r="E9" s="78" t="n">
        <v>0.4226157407407408</v>
      </c>
      <c r="F9" s="79" t="inlineStr">
        <is>
          <t>Ранний уход: уже не на рабочем месте</t>
        </is>
      </c>
      <c r="G9" s="78" t="n">
        <v>0.4226157407407408</v>
      </c>
    </row>
    <row r="10" ht="22" customHeight="1">
      <c r="A10" s="50" t="n">
        <v>9</v>
      </c>
      <c r="B10" s="10" t="inlineStr">
        <is>
          <t>05.07 дневная (вс)</t>
        </is>
      </c>
      <c r="C10" s="52" t="n">
        <v>46208.55228009259</v>
      </c>
      <c r="D10" s="52" t="n">
        <v>46208.56621527778</v>
      </c>
      <c r="E10" s="73" t="n">
        <v>0.01393518518518519</v>
      </c>
      <c r="F10" s="10" t="inlineStr">
        <is>
          <t>Отлучка с рабочего места</t>
        </is>
      </c>
      <c r="G10" s="34" t="n">
        <v>0.01393518518518519</v>
      </c>
    </row>
    <row r="11" ht="22" customHeight="1">
      <c r="A11" s="50" t="n">
        <v>10</v>
      </c>
      <c r="B11" s="10" t="inlineStr">
        <is>
          <t>05.07 дневная (вс)</t>
        </is>
      </c>
      <c r="C11" s="52" t="n">
        <v>46208.71152777778</v>
      </c>
      <c r="D11" s="52" t="n">
        <v>46208.71915509259</v>
      </c>
      <c r="E11" s="73" t="n">
        <v>0.007627314814814815</v>
      </c>
      <c r="F11" s="10" t="inlineStr">
        <is>
          <t>Отлучка с рабочего места</t>
        </is>
      </c>
      <c r="G11" s="34" t="n">
        <v>0.007627314814814815</v>
      </c>
    </row>
    <row r="12" ht="22" customHeight="1">
      <c r="A12" s="35" t="n">
        <v>11</v>
      </c>
      <c r="B12" s="20" t="inlineStr">
        <is>
          <t>05.07 дневная (вс)</t>
        </is>
      </c>
      <c r="C12" s="77" t="n">
        <v>46208.86725694445</v>
      </c>
      <c r="D12" s="77" t="n">
        <v>46208.875</v>
      </c>
      <c r="E12" s="78" t="n">
        <v>0.007743055555555556</v>
      </c>
      <c r="F12" s="79" t="inlineStr">
        <is>
          <t>Ранний уход: уже не на рабочем месте</t>
        </is>
      </c>
      <c r="G12" s="78" t="n">
        <v>0.007743055555555556</v>
      </c>
    </row>
    <row r="13" ht="22" customHeight="1">
      <c r="A13" s="50" t="n">
        <v>12</v>
      </c>
      <c r="B13" s="10" t="inlineStr">
        <is>
          <t>06.07–07.07 ночная (пн–вт)</t>
        </is>
      </c>
      <c r="C13" s="52" t="n">
        <v>46210.0312962963</v>
      </c>
      <c r="D13" s="52" t="n">
        <v>46210.04856481482</v>
      </c>
      <c r="E13" s="73" t="n">
        <v>0.01726851851851852</v>
      </c>
      <c r="F13" s="10" t="inlineStr">
        <is>
          <t>Отлучка с рабочего места</t>
        </is>
      </c>
      <c r="G13" s="34" t="n">
        <v>0.01726851851851852</v>
      </c>
    </row>
    <row r="14" ht="22" customHeight="1">
      <c r="A14" s="50" t="n">
        <v>13</v>
      </c>
      <c r="B14" s="10" t="inlineStr">
        <is>
          <t>06.07–07.07 ночная (пн–вт)</t>
        </is>
      </c>
      <c r="C14" s="52" t="n">
        <v>46210.2763425926</v>
      </c>
      <c r="D14" s="52" t="n">
        <v>46210.2846875</v>
      </c>
      <c r="E14" s="73" t="n">
        <v>0.008344907407407407</v>
      </c>
      <c r="F14" s="10" t="inlineStr">
        <is>
          <t>Отлучка с рабочего места</t>
        </is>
      </c>
      <c r="G14" s="34" t="n">
        <v>0.008344907407407407</v>
      </c>
    </row>
    <row r="15" ht="22" customHeight="1">
      <c r="A15" s="50" t="n">
        <v>14</v>
      </c>
      <c r="B15" s="10" t="inlineStr">
        <is>
          <t>07.07–08.07 ночная (вт–ср)</t>
        </is>
      </c>
      <c r="C15" s="52" t="n">
        <v>46211.00703703704</v>
      </c>
      <c r="D15" s="52" t="n">
        <v>46211.0155787037</v>
      </c>
      <c r="E15" s="73" t="n">
        <v>0.008541666666666666</v>
      </c>
      <c r="F15" s="10" t="inlineStr">
        <is>
          <t>Отлучка с рабочего места</t>
        </is>
      </c>
      <c r="G15" s="34" t="n">
        <v>0.008541666666666666</v>
      </c>
    </row>
    <row r="16" ht="22" customHeight="1">
      <c r="A16" s="50" t="n">
        <v>15</v>
      </c>
      <c r="B16" s="10" t="inlineStr">
        <is>
          <t>07.07–08.07 ночная (вт–ср)</t>
        </is>
      </c>
      <c r="C16" s="52" t="n">
        <v>46211.2762037037</v>
      </c>
      <c r="D16" s="52" t="n">
        <v>46211.28325231482</v>
      </c>
      <c r="E16" s="73" t="n">
        <v>0.007048611111111111</v>
      </c>
      <c r="F16" s="10" t="inlineStr">
        <is>
          <t>Отлучка с рабочего места</t>
        </is>
      </c>
      <c r="G16" s="34" t="n">
        <v>0.007048611111111111</v>
      </c>
    </row>
    <row r="17" ht="22" customHeight="1">
      <c r="A17" s="35" t="n">
        <v>16</v>
      </c>
      <c r="B17" s="20" t="inlineStr">
        <is>
          <t>07.07–08.07 ночная (вт–ср)</t>
        </is>
      </c>
      <c r="C17" s="77" t="n">
        <v>46211.37239583334</v>
      </c>
      <c r="D17" s="77" t="n">
        <v>46211.375</v>
      </c>
      <c r="E17" s="78" t="n">
        <v>0.002604166666666667</v>
      </c>
      <c r="F17" s="79" t="inlineStr">
        <is>
          <t>Ранний уход: уже не на рабочем месте</t>
        </is>
      </c>
      <c r="G17" s="78" t="n">
        <v>0.002604166666666667</v>
      </c>
    </row>
    <row r="18" ht="22" customHeight="1">
      <c r="A18" s="50" t="n">
        <v>17</v>
      </c>
      <c r="B18" s="10" t="inlineStr">
        <is>
          <t>11.07 дневная (сб)</t>
        </is>
      </c>
      <c r="C18" s="52" t="n">
        <v>46214.55958333334</v>
      </c>
      <c r="D18" s="52" t="n">
        <v>46214.58318287037</v>
      </c>
      <c r="E18" s="73" t="n">
        <v>0.02359953703703704</v>
      </c>
      <c r="F18" s="10" t="inlineStr">
        <is>
          <t>Отлучка с рабочего места</t>
        </is>
      </c>
      <c r="G18" s="34" t="n">
        <v>0.02359953703703704</v>
      </c>
    </row>
    <row r="19" ht="22" customHeight="1">
      <c r="A19" s="50" t="n">
        <v>18</v>
      </c>
      <c r="B19" s="10" t="inlineStr">
        <is>
          <t>11.07 дневная (сб)</t>
        </is>
      </c>
      <c r="C19" s="52" t="n">
        <v>46214.59535879629</v>
      </c>
      <c r="D19" s="52" t="n">
        <v>46214.59594907407</v>
      </c>
      <c r="E19" s="34" t="n">
        <v>0.0005902777777777778</v>
      </c>
      <c r="F19" s="10" t="inlineStr">
        <is>
          <t>Отлучка с рабочего места</t>
        </is>
      </c>
      <c r="G19" s="34" t="n">
        <v>0.0005902777777777778</v>
      </c>
    </row>
    <row r="20" ht="22" customHeight="1">
      <c r="A20" s="50" t="n">
        <v>19</v>
      </c>
      <c r="B20" s="10" t="inlineStr">
        <is>
          <t>11.07 дневная (сб)</t>
        </is>
      </c>
      <c r="C20" s="52" t="n">
        <v>46214.71738425926</v>
      </c>
      <c r="D20" s="52" t="n">
        <v>46214.71962962963</v>
      </c>
      <c r="E20" s="34" t="n">
        <v>0.00224537037037037</v>
      </c>
      <c r="F20" s="10" t="inlineStr">
        <is>
          <t>Отлучка с рабочего места</t>
        </is>
      </c>
      <c r="G20" s="34" t="n">
        <v>0.00224537037037037</v>
      </c>
    </row>
    <row r="21" ht="22" customHeight="1">
      <c r="A21" s="50" t="n">
        <v>20</v>
      </c>
      <c r="B21" s="10" t="inlineStr">
        <is>
          <t>11.07 дневная (сб)</t>
        </is>
      </c>
      <c r="C21" s="52" t="n">
        <v>46214.81645833333</v>
      </c>
      <c r="D21" s="52" t="n">
        <v>46214.82475694444</v>
      </c>
      <c r="E21" s="73" t="n">
        <v>0.008298611111111111</v>
      </c>
      <c r="F21" s="10" t="inlineStr">
        <is>
          <t>Отлучка с рабочего места</t>
        </is>
      </c>
      <c r="G21" s="34" t="n">
        <v>0.008298611111111111</v>
      </c>
    </row>
    <row r="22" ht="22" customHeight="1">
      <c r="A22" s="50" t="n">
        <v>21</v>
      </c>
      <c r="B22" s="10" t="inlineStr">
        <is>
          <t>11.07 дневная (сб)</t>
        </is>
      </c>
      <c r="C22" s="52" t="n">
        <v>46214.87760416666</v>
      </c>
      <c r="D22" s="52" t="n">
        <v>46214.88</v>
      </c>
      <c r="E22" s="34" t="n">
        <v>0.002395833333333333</v>
      </c>
      <c r="F22" s="10" t="inlineStr">
        <is>
          <t>Отлучка с рабочего места</t>
        </is>
      </c>
      <c r="G22" s="34" t="n">
        <v>0</v>
      </c>
    </row>
    <row r="23" ht="22" customHeight="1">
      <c r="A23" s="50" t="n">
        <v>22</v>
      </c>
      <c r="B23" s="10" t="inlineStr">
        <is>
          <t>12.07 дневная (вс)</t>
        </is>
      </c>
      <c r="C23" s="52" t="n">
        <v>46215.42690972222</v>
      </c>
      <c r="D23" s="52" t="n">
        <v>46215.42765046296</v>
      </c>
      <c r="E23" s="34" t="n">
        <v>0.0007407407407407407</v>
      </c>
      <c r="F23" s="10" t="inlineStr">
        <is>
          <t>Отлучка с рабочего места</t>
        </is>
      </c>
      <c r="G23" s="34" t="n">
        <v>0.0007407407407407407</v>
      </c>
    </row>
    <row r="24" ht="22" customHeight="1">
      <c r="A24" s="50" t="n">
        <v>23</v>
      </c>
      <c r="B24" s="10" t="inlineStr">
        <is>
          <t>12.07 дневная (вс)</t>
        </is>
      </c>
      <c r="C24" s="52" t="n">
        <v>46215.48077546297</v>
      </c>
      <c r="D24" s="52" t="n">
        <v>46215.50001157408</v>
      </c>
      <c r="E24" s="73" t="n">
        <v>0.01923611111111111</v>
      </c>
      <c r="F24" s="10" t="inlineStr">
        <is>
          <t>Отлучка с рабочего места</t>
        </is>
      </c>
      <c r="G24" s="34" t="n">
        <v>0.01923611111111111</v>
      </c>
    </row>
    <row r="25" ht="22" customHeight="1">
      <c r="A25" s="50" t="n">
        <v>24</v>
      </c>
      <c r="B25" s="10" t="inlineStr">
        <is>
          <t>12.07 дневная (вс)</t>
        </is>
      </c>
      <c r="C25" s="52" t="n">
        <v>46215.60164351852</v>
      </c>
      <c r="D25" s="52" t="n">
        <v>46215.61611111111</v>
      </c>
      <c r="E25" s="73" t="n">
        <v>0.01446759259259259</v>
      </c>
      <c r="F25" s="10" t="inlineStr">
        <is>
          <t>Отлучка с рабочего места</t>
        </is>
      </c>
      <c r="G25" s="34" t="n">
        <v>0.01446759259259259</v>
      </c>
    </row>
    <row r="26" ht="22" customHeight="1">
      <c r="A26" s="50" t="n">
        <v>25</v>
      </c>
      <c r="B26" s="10" t="inlineStr">
        <is>
          <t>12.07 дневная (вс)</t>
        </is>
      </c>
      <c r="C26" s="52" t="n">
        <v>46215.7771875</v>
      </c>
      <c r="D26" s="52" t="n">
        <v>46215.78855324074</v>
      </c>
      <c r="E26" s="73" t="n">
        <v>0.01136574074074074</v>
      </c>
      <c r="F26" s="10" t="inlineStr">
        <is>
          <t>Отлучка с рабочего места</t>
        </is>
      </c>
      <c r="G26" s="34" t="n">
        <v>0.01136574074074074</v>
      </c>
    </row>
    <row r="27" ht="22" customHeight="1">
      <c r="A27" s="50" t="n">
        <v>26</v>
      </c>
      <c r="B27" s="10" t="inlineStr">
        <is>
          <t>14.07–15.07 ночная (вт–ср)</t>
        </is>
      </c>
      <c r="C27" s="52" t="n">
        <v>46217.97439814815</v>
      </c>
      <c r="D27" s="52" t="n">
        <v>46217.98533564815</v>
      </c>
      <c r="E27" s="73" t="n">
        <v>0.0109375</v>
      </c>
      <c r="F27" s="10" t="inlineStr">
        <is>
          <t>Отлучка с рабочего места</t>
        </is>
      </c>
      <c r="G27" s="34" t="n">
        <v>0.0109375</v>
      </c>
    </row>
    <row r="28" ht="22" customHeight="1">
      <c r="A28" s="50" t="n">
        <v>27</v>
      </c>
      <c r="B28" s="10" t="inlineStr">
        <is>
          <t>14.07–15.07 ночная (вт–ср)</t>
        </is>
      </c>
      <c r="C28" s="52" t="n">
        <v>46218.27873842593</v>
      </c>
      <c r="D28" s="52" t="n">
        <v>46218.28681712963</v>
      </c>
      <c r="E28" s="73" t="n">
        <v>0.008078703703703704</v>
      </c>
      <c r="F28" s="10" t="inlineStr">
        <is>
          <t>Отлучка с рабочего места</t>
        </is>
      </c>
      <c r="G28" s="34" t="n">
        <v>0.008078703703703704</v>
      </c>
    </row>
    <row r="29" ht="22" customHeight="1">
      <c r="A29" s="50" t="n">
        <v>28</v>
      </c>
      <c r="B29" s="10" t="inlineStr">
        <is>
          <t>15.07–16.07 ночная (ср–чт)</t>
        </is>
      </c>
      <c r="C29" s="52" t="n">
        <v>46218.96217592592</v>
      </c>
      <c r="D29" s="52" t="n">
        <v>46218.97311342593</v>
      </c>
      <c r="E29" s="73" t="n">
        <v>0.0109375</v>
      </c>
      <c r="F29" s="10" t="inlineStr">
        <is>
          <t>Отлучка с рабочего места</t>
        </is>
      </c>
      <c r="G29" s="34" t="n">
        <v>0.0109375</v>
      </c>
    </row>
    <row r="30" ht="22" customHeight="1">
      <c r="A30" s="50" t="n">
        <v>29</v>
      </c>
      <c r="B30" s="10" t="inlineStr">
        <is>
          <t>15.07–16.07 ночная (ср–чт)</t>
        </is>
      </c>
      <c r="C30" s="52" t="n">
        <v>46219.15068287037</v>
      </c>
      <c r="D30" s="52" t="n">
        <v>46219.15219907407</v>
      </c>
      <c r="E30" s="34" t="n">
        <v>0.001516203703703704</v>
      </c>
      <c r="F30" s="10" t="inlineStr">
        <is>
          <t>Отлучка с рабочего места</t>
        </is>
      </c>
      <c r="G30" s="34" t="n">
        <v>0.001516203703703704</v>
      </c>
    </row>
    <row r="31" ht="22" customHeight="1">
      <c r="A31" s="50" t="n">
        <v>30</v>
      </c>
      <c r="B31" s="10" t="inlineStr">
        <is>
          <t>15.07–16.07 ночная (ср–чт)</t>
        </is>
      </c>
      <c r="C31" s="52" t="n">
        <v>46219.28538194444</v>
      </c>
      <c r="D31" s="52" t="n">
        <v>46219.29726851852</v>
      </c>
      <c r="E31" s="73" t="n">
        <v>0.01188657407407407</v>
      </c>
      <c r="F31" s="10" t="inlineStr">
        <is>
          <t>Отлучка с рабочего места</t>
        </is>
      </c>
      <c r="G31" s="34" t="n">
        <v>0.01188657407407407</v>
      </c>
    </row>
    <row r="32" ht="22" customHeight="1">
      <c r="A32" s="35" t="n">
        <v>31</v>
      </c>
      <c r="B32" s="20" t="inlineStr">
        <is>
          <t>15.07–16.07 ночная (ср–чт)</t>
        </is>
      </c>
      <c r="C32" s="77" t="n">
        <v>46219.3703125</v>
      </c>
      <c r="D32" s="77" t="n">
        <v>46219.375</v>
      </c>
      <c r="E32" s="78" t="n">
        <v>0.0046875</v>
      </c>
      <c r="F32" s="79" t="inlineStr">
        <is>
          <t>Ранний уход: уже не на рабочем месте</t>
        </is>
      </c>
      <c r="G32" s="78" t="n">
        <v>0.0046875</v>
      </c>
    </row>
    <row r="33" ht="22" customHeight="1">
      <c r="A33" s="36" t="n">
        <v>32</v>
      </c>
      <c r="B33" s="15" t="inlineStr">
        <is>
          <t>16.07–17.07 ночная (чт–пт)</t>
        </is>
      </c>
      <c r="C33" s="80" t="n">
        <v>46219.875</v>
      </c>
      <c r="D33" s="80" t="n">
        <v>46220.01476851852</v>
      </c>
      <c r="E33" s="81" t="n">
        <v>0.1397685185185185</v>
      </c>
      <c r="F33" s="82" t="inlineStr">
        <is>
          <t>Опоздание: ещё не на рабочем месте</t>
        </is>
      </c>
      <c r="G33" s="81" t="n">
        <v>0.1397685185185185</v>
      </c>
    </row>
    <row r="34" ht="22" customHeight="1">
      <c r="A34" s="50" t="n">
        <v>33</v>
      </c>
      <c r="B34" s="10" t="inlineStr">
        <is>
          <t>16.07–17.07 ночная (чт–пт)</t>
        </is>
      </c>
      <c r="C34" s="52" t="n">
        <v>46220.25148148148</v>
      </c>
      <c r="D34" s="52" t="n">
        <v>46220.26344907407</v>
      </c>
      <c r="E34" s="73" t="n">
        <v>0.01196759259259259</v>
      </c>
      <c r="F34" s="10" t="inlineStr">
        <is>
          <t>Отлучка с рабочего места</t>
        </is>
      </c>
      <c r="G34" s="34" t="n">
        <v>0.01196759259259259</v>
      </c>
    </row>
    <row r="35" ht="22" customHeight="1">
      <c r="A35" s="50" t="n">
        <v>34</v>
      </c>
      <c r="B35" s="10" t="inlineStr">
        <is>
          <t>19.07 дневная (вс)</t>
        </is>
      </c>
      <c r="C35" s="52" t="n">
        <v>46222.56079861111</v>
      </c>
      <c r="D35" s="52" t="n">
        <v>46222.57641203704</v>
      </c>
      <c r="E35" s="73" t="n">
        <v>0.01561342592592593</v>
      </c>
      <c r="F35" s="10" t="inlineStr">
        <is>
          <t>Отлучка с рабочего места</t>
        </is>
      </c>
      <c r="G35" s="34" t="n">
        <v>0.01561342592592593</v>
      </c>
    </row>
    <row r="36" ht="22" customHeight="1">
      <c r="A36" s="50" t="n">
        <v>35</v>
      </c>
      <c r="B36" s="10" t="inlineStr">
        <is>
          <t>19.07 дневная (вс)</t>
        </is>
      </c>
      <c r="C36" s="52" t="n">
        <v>46222.7505787037</v>
      </c>
      <c r="D36" s="52" t="n">
        <v>46222.75982638889</v>
      </c>
      <c r="E36" s="73" t="n">
        <v>0.009247685185185185</v>
      </c>
      <c r="F36" s="10" t="inlineStr">
        <is>
          <t>Отлучка с рабочего места</t>
        </is>
      </c>
      <c r="G36" s="34" t="n">
        <v>0.009247685185185185</v>
      </c>
    </row>
    <row r="37" ht="22" customHeight="1">
      <c r="A37" s="35" t="n">
        <v>36</v>
      </c>
      <c r="B37" s="20" t="inlineStr">
        <is>
          <t>19.07 дневная (вс)</t>
        </is>
      </c>
      <c r="C37" s="77" t="n">
        <v>46222.8703125</v>
      </c>
      <c r="D37" s="77" t="n">
        <v>46222.875</v>
      </c>
      <c r="E37" s="78" t="n">
        <v>0.0046875</v>
      </c>
      <c r="F37" s="79" t="inlineStr">
        <is>
          <t>Ранний уход: уже не на рабочем месте</t>
        </is>
      </c>
      <c r="G37" s="78" t="n">
        <v>0.0046875</v>
      </c>
    </row>
    <row r="38" ht="22" customHeight="1">
      <c r="A38" s="50" t="n">
        <v>37</v>
      </c>
      <c r="B38" s="10" t="inlineStr">
        <is>
          <t>20.07 дневная (пн)</t>
        </is>
      </c>
      <c r="C38" s="52" t="n">
        <v>46223.43667824074</v>
      </c>
      <c r="D38" s="52" t="n">
        <v>46223.43739583333</v>
      </c>
      <c r="E38" s="34" t="n">
        <v>0.0007175925925925926</v>
      </c>
      <c r="F38" s="10" t="inlineStr">
        <is>
          <t>Отлучка с рабочего места</t>
        </is>
      </c>
      <c r="G38" s="34" t="n">
        <v>0.0007175925925925926</v>
      </c>
    </row>
    <row r="39" ht="22" customHeight="1">
      <c r="A39" s="50" t="n">
        <v>38</v>
      </c>
      <c r="B39" s="10" t="inlineStr">
        <is>
          <t>20.07 дневная (пн)</t>
        </is>
      </c>
      <c r="C39" s="52" t="n">
        <v>46223.55101851852</v>
      </c>
      <c r="D39" s="52" t="n">
        <v>46223.56460648148</v>
      </c>
      <c r="E39" s="73" t="n">
        <v>0.01358796296296296</v>
      </c>
      <c r="F39" s="10" t="inlineStr">
        <is>
          <t>Отлучка с рабочего места</t>
        </is>
      </c>
      <c r="G39" s="34" t="n">
        <v>0.01358796296296296</v>
      </c>
    </row>
    <row r="40" ht="22" customHeight="1">
      <c r="A40" s="50" t="n">
        <v>39</v>
      </c>
      <c r="B40" s="10" t="inlineStr">
        <is>
          <t>20.07 дневная (пн)</t>
        </is>
      </c>
      <c r="C40" s="52" t="n">
        <v>46223.72384259259</v>
      </c>
      <c r="D40" s="52" t="n">
        <v>46223.73261574074</v>
      </c>
      <c r="E40" s="73" t="n">
        <v>0.008773148148148148</v>
      </c>
      <c r="F40" s="10" t="inlineStr">
        <is>
          <t>Отлучка с рабочего места</t>
        </is>
      </c>
      <c r="G40" s="34" t="n">
        <v>0.008773148148148148</v>
      </c>
    </row>
    <row r="41" ht="22" customHeight="1">
      <c r="A41" s="50" t="n">
        <v>40</v>
      </c>
      <c r="B41" s="10" t="inlineStr">
        <is>
          <t>20.07 дневная (пн)</t>
        </is>
      </c>
      <c r="C41" s="52" t="n">
        <v>46223.73289351852</v>
      </c>
      <c r="D41" s="52" t="n">
        <v>46223.7415625</v>
      </c>
      <c r="E41" s="73" t="n">
        <v>0.008668981481481481</v>
      </c>
      <c r="F41" s="10" t="inlineStr">
        <is>
          <t>Отлучка с рабочего места</t>
        </is>
      </c>
      <c r="G41" s="34" t="n">
        <v>0.008668981481481481</v>
      </c>
    </row>
    <row r="42" ht="22" customHeight="1">
      <c r="A42" s="50" t="n">
        <v>41</v>
      </c>
      <c r="B42" s="10" t="inlineStr">
        <is>
          <t>20.07 дневная (пн)</t>
        </is>
      </c>
      <c r="C42" s="52" t="n">
        <v>46223.83262731481</v>
      </c>
      <c r="D42" s="52" t="n">
        <v>46223.84592592593</v>
      </c>
      <c r="E42" s="73" t="n">
        <v>0.01329861111111111</v>
      </c>
      <c r="F42" s="10" t="inlineStr">
        <is>
          <t>Отлучка с рабочего места</t>
        </is>
      </c>
      <c r="G42" s="34" t="n">
        <v>0.01329861111111111</v>
      </c>
    </row>
    <row r="43" ht="22" customHeight="1">
      <c r="A43" s="36" t="n">
        <v>42</v>
      </c>
      <c r="B43" s="15" t="inlineStr">
        <is>
          <t>21.07–22.07 ночная (вт–ср)</t>
        </is>
      </c>
      <c r="C43" s="80" t="n">
        <v>46224.875</v>
      </c>
      <c r="D43" s="80" t="n">
        <v>46224.8759375</v>
      </c>
      <c r="E43" s="81" t="n">
        <v>0.0009375</v>
      </c>
      <c r="F43" s="82" t="inlineStr">
        <is>
          <t>Опоздание: ещё не на рабочем месте</t>
        </is>
      </c>
      <c r="G43" s="81" t="n">
        <v>0.0009375</v>
      </c>
    </row>
    <row r="44" ht="22" customHeight="1">
      <c r="A44" s="50" t="n">
        <v>43</v>
      </c>
      <c r="B44" s="10" t="inlineStr">
        <is>
          <t>21.07–22.07 ночная (вт–ср)</t>
        </is>
      </c>
      <c r="C44" s="52" t="n">
        <v>46224.98168981481</v>
      </c>
      <c r="D44" s="52" t="n">
        <v>46225.01297453704</v>
      </c>
      <c r="E44" s="73" t="n">
        <v>0.03128472222222222</v>
      </c>
      <c r="F44" s="10" t="inlineStr">
        <is>
          <t>Отлучка с рабочего места</t>
        </is>
      </c>
      <c r="G44" s="34" t="n">
        <v>0.03128472222222222</v>
      </c>
    </row>
    <row r="45" ht="22" customHeight="1">
      <c r="A45" s="50" t="n">
        <v>44</v>
      </c>
      <c r="B45" s="10" t="inlineStr">
        <is>
          <t>21.07–22.07 ночная (вт–ср)</t>
        </is>
      </c>
      <c r="C45" s="52" t="n">
        <v>46225.05451388889</v>
      </c>
      <c r="D45" s="52" t="n">
        <v>46225.05534722222</v>
      </c>
      <c r="E45" s="34" t="n">
        <v>0.0008333333333333334</v>
      </c>
      <c r="F45" s="10" t="inlineStr">
        <is>
          <t>Отлучка с рабочего места</t>
        </is>
      </c>
      <c r="G45" s="34" t="n">
        <v>0.0008333333333333334</v>
      </c>
    </row>
    <row r="46" ht="22" customHeight="1">
      <c r="A46" s="50" t="n">
        <v>45</v>
      </c>
      <c r="B46" s="10" t="inlineStr">
        <is>
          <t>21.07–22.07 ночная (вт–ср)</t>
        </is>
      </c>
      <c r="C46" s="52" t="n">
        <v>46225.21377314815</v>
      </c>
      <c r="D46" s="52" t="n">
        <v>46225.22439814815</v>
      </c>
      <c r="E46" s="73" t="n">
        <v>0.010625</v>
      </c>
      <c r="F46" s="10" t="inlineStr">
        <is>
          <t>Отлучка с рабочего места</t>
        </is>
      </c>
      <c r="G46" s="34" t="n">
        <v>0.010625</v>
      </c>
    </row>
    <row r="47" ht="22" customHeight="1">
      <c r="A47" s="50" t="n">
        <v>46</v>
      </c>
      <c r="B47" s="10" t="inlineStr">
        <is>
          <t>22.07–23.07 ночная (ср–чт)</t>
        </is>
      </c>
      <c r="C47" s="52" t="n">
        <v>46226.02863425926</v>
      </c>
      <c r="D47" s="52" t="n">
        <v>46226.04447916667</v>
      </c>
      <c r="E47" s="73" t="n">
        <v>0.01584490740740741</v>
      </c>
      <c r="F47" s="10" t="inlineStr">
        <is>
          <t>Отлучка с рабочего места</t>
        </is>
      </c>
      <c r="G47" s="34" t="n">
        <v>0.01584490740740741</v>
      </c>
    </row>
    <row r="48" ht="22" customHeight="1">
      <c r="A48" s="50" t="n">
        <v>47</v>
      </c>
      <c r="B48" s="10" t="inlineStr">
        <is>
          <t>22.07–23.07 ночная (ср–чт)</t>
        </is>
      </c>
      <c r="C48" s="52" t="n">
        <v>46226.23349537037</v>
      </c>
      <c r="D48" s="52" t="n">
        <v>46226.24597222222</v>
      </c>
      <c r="E48" s="73" t="n">
        <v>0.01247685185185185</v>
      </c>
      <c r="F48" s="10" t="inlineStr">
        <is>
          <t>Отлучка с рабочего места</t>
        </is>
      </c>
      <c r="G48" s="34" t="n">
        <v>0.01247685185185185</v>
      </c>
    </row>
    <row r="49" ht="22" customHeight="1">
      <c r="A49" s="50" t="n">
        <v>48</v>
      </c>
      <c r="B49" s="10" t="inlineStr">
        <is>
          <t>22.07–23.07 ночная (ср–чт)</t>
        </is>
      </c>
      <c r="C49" s="52" t="n">
        <v>46226.24636574074</v>
      </c>
      <c r="D49" s="52" t="n">
        <v>46226.2540625</v>
      </c>
      <c r="E49" s="73" t="n">
        <v>0.007696759259259259</v>
      </c>
      <c r="F49" s="10" t="inlineStr">
        <is>
          <t>Отлучка с рабочего места</t>
        </is>
      </c>
      <c r="G49" s="34" t="n">
        <v>0.007696759259259259</v>
      </c>
    </row>
    <row r="50" ht="22" customHeight="1">
      <c r="A50" s="50" t="n">
        <v>49</v>
      </c>
      <c r="B50" s="10" t="inlineStr">
        <is>
          <t>23.07–24.07 ночная (чт–пт)</t>
        </is>
      </c>
      <c r="C50" s="52" t="n">
        <v>46226.9690625</v>
      </c>
      <c r="D50" s="52" t="n">
        <v>46226.97085648148</v>
      </c>
      <c r="E50" s="34" t="n">
        <v>0.001793981481481481</v>
      </c>
      <c r="F50" s="10" t="inlineStr">
        <is>
          <t>Отлучка с рабочего места</t>
        </is>
      </c>
      <c r="G50" s="34" t="n">
        <v>0.001793981481481481</v>
      </c>
    </row>
    <row r="51" ht="22" customHeight="1">
      <c r="A51" s="50" t="n">
        <v>50</v>
      </c>
      <c r="B51" s="10" t="inlineStr">
        <is>
          <t>23.07–24.07 ночная (чт–пт)</t>
        </is>
      </c>
      <c r="C51" s="52" t="n">
        <v>46226.97112268519</v>
      </c>
      <c r="D51" s="52" t="n">
        <v>46226.97293981481</v>
      </c>
      <c r="E51" s="34" t="n">
        <v>0.00181712962962963</v>
      </c>
      <c r="F51" s="10" t="inlineStr">
        <is>
          <t>Отлучка с рабочего места</t>
        </is>
      </c>
      <c r="G51" s="34" t="n">
        <v>0.00181712962962963</v>
      </c>
    </row>
    <row r="52" ht="22" customHeight="1">
      <c r="A52" s="50" t="n">
        <v>51</v>
      </c>
      <c r="B52" s="10" t="inlineStr">
        <is>
          <t>23.07–24.07 ночная (чт–пт)</t>
        </is>
      </c>
      <c r="C52" s="52" t="n">
        <v>46227.04200231482</v>
      </c>
      <c r="D52" s="52" t="n">
        <v>46227.06246527778</v>
      </c>
      <c r="E52" s="73" t="n">
        <v>0.02046296296296296</v>
      </c>
      <c r="F52" s="10" t="inlineStr">
        <is>
          <t>Отлучка с рабочего места</t>
        </is>
      </c>
      <c r="G52" s="34" t="n">
        <v>0.02046296296296296</v>
      </c>
    </row>
    <row r="53" ht="22" customHeight="1">
      <c r="A53" s="50" t="n">
        <v>52</v>
      </c>
      <c r="B53" s="10" t="inlineStr">
        <is>
          <t>25.07 дневная (сб)</t>
        </is>
      </c>
      <c r="C53" s="52" t="n">
        <v>46228.56979166667</v>
      </c>
      <c r="D53" s="52" t="n">
        <v>46228.58478009259</v>
      </c>
      <c r="E53" s="73" t="n">
        <v>0.01498842592592593</v>
      </c>
      <c r="F53" s="10" t="inlineStr">
        <is>
          <t>Отлучка с рабочего места</t>
        </is>
      </c>
      <c r="G53" s="34" t="n">
        <v>0.01498842592592593</v>
      </c>
    </row>
    <row r="54" ht="22" customHeight="1">
      <c r="A54" s="50" t="n">
        <v>53</v>
      </c>
      <c r="B54" s="10" t="inlineStr">
        <is>
          <t>25.07 дневная (сб)</t>
        </is>
      </c>
      <c r="C54" s="52" t="n">
        <v>46228.78200231482</v>
      </c>
      <c r="D54" s="52" t="n">
        <v>46228.79471064815</v>
      </c>
      <c r="E54" s="73" t="n">
        <v>0.01270833333333333</v>
      </c>
      <c r="F54" s="10" t="inlineStr">
        <is>
          <t>Отлучка с рабочего места</t>
        </is>
      </c>
      <c r="G54" s="34" t="n">
        <v>0.01270833333333333</v>
      </c>
    </row>
    <row r="55" ht="22" customHeight="1">
      <c r="A55" s="50" t="n">
        <v>54</v>
      </c>
      <c r="B55" s="10" t="inlineStr">
        <is>
          <t>27.07 дневная (пн)</t>
        </is>
      </c>
      <c r="C55" s="52" t="n">
        <v>46230.50409722222</v>
      </c>
      <c r="D55" s="52" t="n">
        <v>46230.51755787037</v>
      </c>
      <c r="E55" s="73" t="n">
        <v>0.01346064814814815</v>
      </c>
      <c r="F55" s="10" t="inlineStr">
        <is>
          <t>Отлучка с рабочего места</t>
        </is>
      </c>
      <c r="G55" s="34" t="n">
        <v>0.01346064814814815</v>
      </c>
    </row>
    <row r="56" ht="22" customHeight="1">
      <c r="A56" s="50" t="n">
        <v>55</v>
      </c>
      <c r="B56" s="10" t="inlineStr">
        <is>
          <t>27.07 дневная (пн)</t>
        </is>
      </c>
      <c r="C56" s="52" t="n">
        <v>46230.53768518518</v>
      </c>
      <c r="D56" s="52" t="n">
        <v>46230.53854166667</v>
      </c>
      <c r="E56" s="34" t="n">
        <v>0.0008564814814814815</v>
      </c>
      <c r="F56" s="10" t="inlineStr">
        <is>
          <t>Отлучка с рабочего места</t>
        </is>
      </c>
      <c r="G56" s="34" t="n">
        <v>0.0008564814814814815</v>
      </c>
    </row>
    <row r="57" ht="22" customHeight="1">
      <c r="A57" s="50" t="n">
        <v>56</v>
      </c>
      <c r="B57" s="10" t="inlineStr">
        <is>
          <t>27.07 дневная (пн)</t>
        </is>
      </c>
      <c r="C57" s="52" t="n">
        <v>46230.63532407407</v>
      </c>
      <c r="D57" s="52" t="n">
        <v>46230.64179398148</v>
      </c>
      <c r="E57" s="34" t="n">
        <v>0.006469907407407408</v>
      </c>
      <c r="F57" s="10" t="inlineStr">
        <is>
          <t>Отлучка с рабочего места</t>
        </is>
      </c>
      <c r="G57" s="34" t="n">
        <v>0.006469907407407408</v>
      </c>
    </row>
    <row r="58" ht="22" customHeight="1">
      <c r="A58" s="50" t="n">
        <v>57</v>
      </c>
      <c r="B58" s="10" t="inlineStr">
        <is>
          <t>27.07 дневная (пн)</t>
        </is>
      </c>
      <c r="C58" s="52" t="n">
        <v>46230.64287037037</v>
      </c>
      <c r="D58" s="52" t="n">
        <v>46230.65177083333</v>
      </c>
      <c r="E58" s="73" t="n">
        <v>0.008900462962962962</v>
      </c>
      <c r="F58" s="10" t="inlineStr">
        <is>
          <t>Отлучка с рабочего места</t>
        </is>
      </c>
      <c r="G58" s="34" t="n">
        <v>0.008900462962962962</v>
      </c>
    </row>
    <row r="59" ht="22" customHeight="1">
      <c r="A59" s="50" t="n">
        <v>58</v>
      </c>
      <c r="B59" s="10" t="inlineStr">
        <is>
          <t>27.07 дневная (пн)</t>
        </is>
      </c>
      <c r="C59" s="52" t="n">
        <v>46230.83621527778</v>
      </c>
      <c r="D59" s="52" t="n">
        <v>46230.84503472222</v>
      </c>
      <c r="E59" s="73" t="n">
        <v>0.008819444444444444</v>
      </c>
      <c r="F59" s="10" t="inlineStr">
        <is>
          <t>Отлучка с рабочего места</t>
        </is>
      </c>
      <c r="G59" s="34" t="n">
        <v>0.008819444444444444</v>
      </c>
    </row>
    <row r="60" ht="22" customHeight="1">
      <c r="A60" s="35" t="n">
        <v>59</v>
      </c>
      <c r="B60" s="20" t="inlineStr">
        <is>
          <t>27.07 дневная (пн)</t>
        </is>
      </c>
      <c r="C60" s="77" t="n">
        <v>46230.87012731482</v>
      </c>
      <c r="D60" s="77" t="n">
        <v>46230.875</v>
      </c>
      <c r="E60" s="78" t="n">
        <v>0.004872685185185185</v>
      </c>
      <c r="F60" s="79" t="inlineStr">
        <is>
          <t>Ранний уход: уже не на рабочем месте</t>
        </is>
      </c>
      <c r="G60" s="78" t="n">
        <v>0.004872685185185185</v>
      </c>
    </row>
    <row r="61" ht="22" customHeight="1">
      <c r="A61" s="50" t="n">
        <v>60</v>
      </c>
      <c r="B61" s="10" t="inlineStr">
        <is>
          <t>28.07 дневная (вт)</t>
        </is>
      </c>
      <c r="C61" s="52" t="n">
        <v>46231.41738425926</v>
      </c>
      <c r="D61" s="52" t="n">
        <v>46231.41833333333</v>
      </c>
      <c r="E61" s="34" t="n">
        <v>0.0009490740740740741</v>
      </c>
      <c r="F61" s="10" t="inlineStr">
        <is>
          <t>Отлучка с рабочего места</t>
        </is>
      </c>
      <c r="G61" s="34" t="n">
        <v>0.0009490740740740741</v>
      </c>
    </row>
    <row r="62" ht="22" customHeight="1">
      <c r="A62" s="50" t="n">
        <v>61</v>
      </c>
      <c r="B62" s="10" t="inlineStr">
        <is>
          <t>28.07 дневная (вт)</t>
        </is>
      </c>
      <c r="C62" s="52" t="n">
        <v>46231.50877314815</v>
      </c>
      <c r="D62" s="52" t="n">
        <v>46231.52509259259</v>
      </c>
      <c r="E62" s="73" t="n">
        <v>0.01631944444444445</v>
      </c>
      <c r="F62" s="10" t="inlineStr">
        <is>
          <t>Отлучка с рабочего места</t>
        </is>
      </c>
      <c r="G62" s="34" t="n">
        <v>0.01631944444444445</v>
      </c>
    </row>
    <row r="63" ht="22" customHeight="1">
      <c r="A63" s="50" t="n">
        <v>62</v>
      </c>
      <c r="B63" s="10" t="inlineStr">
        <is>
          <t>28.07 дневная (вт)</t>
        </is>
      </c>
      <c r="C63" s="52" t="n">
        <v>46231.65043981482</v>
      </c>
      <c r="D63" s="52" t="n">
        <v>46231.65149305556</v>
      </c>
      <c r="E63" s="34" t="n">
        <v>0.001053240740740741</v>
      </c>
      <c r="F63" s="10" t="inlineStr">
        <is>
          <t>Отлучка с рабочего места</t>
        </is>
      </c>
      <c r="G63" s="34" t="n">
        <v>0.001053240740740741</v>
      </c>
    </row>
    <row r="64" ht="22" customHeight="1">
      <c r="A64" s="50" t="n">
        <v>63</v>
      </c>
      <c r="B64" s="10" t="inlineStr">
        <is>
          <t>28.07 дневная (вт)</t>
        </is>
      </c>
      <c r="C64" s="52" t="n">
        <v>46231.78623842593</v>
      </c>
      <c r="D64" s="52" t="n">
        <v>46231.79909722223</v>
      </c>
      <c r="E64" s="73" t="n">
        <v>0.0128587962962963</v>
      </c>
      <c r="F64" s="10" t="inlineStr">
        <is>
          <t>Отлучка с рабочего места</t>
        </is>
      </c>
      <c r="G64" s="34" t="n">
        <v>0.0128587962962963</v>
      </c>
    </row>
    <row r="65" ht="22" customHeight="1">
      <c r="A65" s="74" t="n">
        <v>64</v>
      </c>
      <c r="B65" s="38" t="inlineStr">
        <is>
          <t>28.07 дневная (вт)</t>
        </is>
      </c>
      <c r="C65" s="75" t="n">
        <v>46231.87456018518</v>
      </c>
      <c r="D65" s="75" t="n">
        <v>46231.875</v>
      </c>
      <c r="E65" s="76" t="n">
        <v>0.0004398148148148148</v>
      </c>
      <c r="F65" s="63" t="inlineStr">
        <is>
          <t>Ранний уход: уже не на рабочем месте</t>
        </is>
      </c>
      <c r="G65" s="76" t="n">
        <v>0.0004398148148148148</v>
      </c>
    </row>
    <row r="66" ht="22" customHeight="1">
      <c r="A66" s="50" t="n">
        <v>65</v>
      </c>
      <c r="B66" s="10" t="inlineStr">
        <is>
          <t>29.07–30.07 ночная (ср–чт)</t>
        </is>
      </c>
      <c r="C66" s="52" t="n">
        <v>46233.04100694445</v>
      </c>
      <c r="D66" s="52" t="n">
        <v>46233.07568287037</v>
      </c>
      <c r="E66" s="73" t="n">
        <v>0.03467592592592592</v>
      </c>
      <c r="F66" s="10" t="inlineStr">
        <is>
          <t>Отлучка с рабочего места</t>
        </is>
      </c>
      <c r="G66" s="34" t="n">
        <v>0.03467592592592592</v>
      </c>
    </row>
    <row r="67" ht="22" customHeight="1">
      <c r="A67" s="50" t="n">
        <v>66</v>
      </c>
      <c r="B67" s="10" t="inlineStr">
        <is>
          <t>29.07–30.07 ночная (ср–чт)</t>
        </is>
      </c>
      <c r="C67" s="52" t="n">
        <v>46233.19704861111</v>
      </c>
      <c r="D67" s="52" t="n">
        <v>46233.19876157407</v>
      </c>
      <c r="E67" s="34" t="n">
        <v>0.001712962962962963</v>
      </c>
      <c r="F67" s="10" t="inlineStr">
        <is>
          <t>Отлучка с рабочего места</t>
        </is>
      </c>
      <c r="G67" s="34" t="n">
        <v>0.001712962962962963</v>
      </c>
    </row>
    <row r="68" ht="22" customHeight="1">
      <c r="A68" s="50" t="n">
        <v>67</v>
      </c>
      <c r="B68" s="10" t="inlineStr">
        <is>
          <t>30.07–31.07 ночная (чт–пт)</t>
        </is>
      </c>
      <c r="C68" s="52" t="n">
        <v>46234.04280092593</v>
      </c>
      <c r="D68" s="52" t="n">
        <v>46234.06965277778</v>
      </c>
      <c r="E68" s="73" t="n">
        <v>0.02685185185185185</v>
      </c>
      <c r="F68" s="10" t="inlineStr">
        <is>
          <t>Отлучка с рабочего места</t>
        </is>
      </c>
      <c r="G68" s="34" t="n">
        <v>0.02685185185185185</v>
      </c>
    </row>
    <row r="69" ht="22" customHeight="1">
      <c r="A69" s="50" t="n">
        <v>68</v>
      </c>
      <c r="B69" s="10" t="inlineStr">
        <is>
          <t>30.07–31.07 ночная (чт–пт)</t>
        </is>
      </c>
      <c r="C69" s="52" t="n">
        <v>46234.27196759259</v>
      </c>
      <c r="D69" s="52" t="n">
        <v>46234.29797453704</v>
      </c>
      <c r="E69" s="73" t="n">
        <v>0.02600694444444444</v>
      </c>
      <c r="F69" s="10" t="inlineStr">
        <is>
          <t>Отлучка с рабочего места</t>
        </is>
      </c>
      <c r="G69" s="34" t="n">
        <v>0.02600694444444444</v>
      </c>
    </row>
    <row r="70" ht="22" customHeight="1">
      <c r="A70" s="35" t="n">
        <v>69</v>
      </c>
      <c r="B70" s="20" t="inlineStr">
        <is>
          <t>30.07–31.07 ночная (чт–пт)</t>
        </is>
      </c>
      <c r="C70" s="77" t="n">
        <v>46234.3690162037</v>
      </c>
      <c r="D70" s="77" t="n">
        <v>46234.375</v>
      </c>
      <c r="E70" s="78" t="n">
        <v>0.005983796296296296</v>
      </c>
      <c r="F70" s="79" t="inlineStr">
        <is>
          <t>Ранний уход: уже не на рабочем месте</t>
        </is>
      </c>
      <c r="G70" s="78" t="n">
        <v>0.005983796296296296</v>
      </c>
    </row>
    <row r="71" ht="22" customHeight="1">
      <c r="A71" s="50" t="n">
        <v>70</v>
      </c>
      <c r="B71" s="10" t="inlineStr">
        <is>
          <t>31.07–01.08 ночная (пт–сб)</t>
        </is>
      </c>
      <c r="C71" s="52" t="n">
        <v>46234.97548611111</v>
      </c>
      <c r="D71" s="52" t="n">
        <v>46234.98836805556</v>
      </c>
      <c r="E71" s="73" t="n">
        <v>0.01288194444444444</v>
      </c>
      <c r="F71" s="10" t="inlineStr">
        <is>
          <t>Отлучка с рабочего места</t>
        </is>
      </c>
      <c r="G71" s="34" t="n">
        <v>0.01288194444444444</v>
      </c>
    </row>
    <row r="72" ht="22" customHeight="1">
      <c r="A72" s="50" t="n">
        <v>71</v>
      </c>
      <c r="B72" s="10" t="inlineStr">
        <is>
          <t>31.07–01.08 ночная (пт–сб)</t>
        </is>
      </c>
      <c r="C72" s="52" t="n">
        <v>46235.06190972222</v>
      </c>
      <c r="D72" s="52" t="n">
        <v>46235.09224537037</v>
      </c>
      <c r="E72" s="73" t="n">
        <v>0.03033564814814815</v>
      </c>
      <c r="F72" s="10" t="inlineStr">
        <is>
          <t>Отлучка с рабочего места</t>
        </is>
      </c>
      <c r="G72" s="34" t="n">
        <v>0.03033564814814815</v>
      </c>
    </row>
    <row r="73" ht="22" customHeight="1">
      <c r="A73" s="50" t="n">
        <v>72</v>
      </c>
      <c r="B73" s="10" t="inlineStr">
        <is>
          <t>31.07–01.08 ночная (пт–сб)</t>
        </is>
      </c>
      <c r="C73" s="52" t="n">
        <v>46235.26265046297</v>
      </c>
      <c r="D73" s="52" t="n">
        <v>46235.27194444444</v>
      </c>
      <c r="E73" s="73" t="n">
        <v>0.009293981481481481</v>
      </c>
      <c r="F73" s="10" t="inlineStr">
        <is>
          <t>Отлучка с рабочего места</t>
        </is>
      </c>
      <c r="G73" s="34" t="n">
        <v>0.009293981481481481</v>
      </c>
    </row>
    <row r="74" ht="22" customHeight="1">
      <c r="A74" s="35" t="n">
        <v>73</v>
      </c>
      <c r="B74" s="20" t="inlineStr">
        <is>
          <t>31.07–01.08 ночная (пт–сб)</t>
        </is>
      </c>
      <c r="C74" s="77" t="n">
        <v>46235.36846064815</v>
      </c>
      <c r="D74" s="77" t="n">
        <v>46235.375</v>
      </c>
      <c r="E74" s="78" t="n">
        <v>0.006539351851851852</v>
      </c>
      <c r="F74" s="79" t="inlineStr">
        <is>
          <t>Ранний уход: уже не на рабочем месте</t>
        </is>
      </c>
      <c r="G74" s="78" t="n">
        <v>0.006539351851851852</v>
      </c>
    </row>
    <row r="75" ht="22" customHeight="1">
      <c r="A75" s="50" t="n">
        <v>74</v>
      </c>
      <c r="B75" s="10" t="inlineStr">
        <is>
          <t>20.08 дневная (чт)</t>
        </is>
      </c>
      <c r="C75" s="52" t="n">
        <v>46254.4609837963</v>
      </c>
      <c r="D75" s="52" t="n">
        <v>46254.50539351852</v>
      </c>
      <c r="E75" s="73" t="n">
        <v>0.04440972222222223</v>
      </c>
      <c r="F75" s="10" t="inlineStr">
        <is>
          <t>Отлучка с рабочего места</t>
        </is>
      </c>
      <c r="G75" s="34" t="n">
        <v>0.04440972222222223</v>
      </c>
    </row>
    <row r="76" ht="22" customHeight="1">
      <c r="A76" s="50" t="n">
        <v>75</v>
      </c>
      <c r="B76" s="10" t="inlineStr">
        <is>
          <t>20.08 дневная (чт)</t>
        </is>
      </c>
      <c r="C76" s="52" t="n">
        <v>46254.65322916667</v>
      </c>
      <c r="D76" s="52" t="n">
        <v>46254.65697916667</v>
      </c>
      <c r="E76" s="34" t="n">
        <v>0.00375</v>
      </c>
      <c r="F76" s="10" t="inlineStr">
        <is>
          <t>Отлучка с рабочего места</t>
        </is>
      </c>
      <c r="G76" s="34" t="n">
        <v>0.00375</v>
      </c>
    </row>
    <row r="77" ht="22" customHeight="1">
      <c r="A77" s="50" t="n">
        <v>76</v>
      </c>
      <c r="B77" s="10" t="inlineStr">
        <is>
          <t>20.08 дневная (чт)</t>
        </is>
      </c>
      <c r="C77" s="52" t="n">
        <v>46254.78253472222</v>
      </c>
      <c r="D77" s="52" t="n">
        <v>46254.79684027778</v>
      </c>
      <c r="E77" s="73" t="n">
        <v>0.01430555555555556</v>
      </c>
      <c r="F77" s="10" t="inlineStr">
        <is>
          <t>Отлучка с рабочего места</t>
        </is>
      </c>
      <c r="G77" s="34" t="n">
        <v>0.01430555555555556</v>
      </c>
    </row>
    <row r="78" ht="22" customHeight="1">
      <c r="A78" s="35" t="n">
        <v>77</v>
      </c>
      <c r="B78" s="20" t="inlineStr">
        <is>
          <t>20.08 дневная (чт)</t>
        </is>
      </c>
      <c r="C78" s="77" t="n">
        <v>46254.86581018518</v>
      </c>
      <c r="D78" s="77" t="n">
        <v>46254.875</v>
      </c>
      <c r="E78" s="78" t="n">
        <v>0.009189814814814816</v>
      </c>
      <c r="F78" s="79" t="inlineStr">
        <is>
          <t>Ранний уход: уже не на рабочем месте</t>
        </is>
      </c>
      <c r="G78" s="78" t="n">
        <v>0.009189814814814816</v>
      </c>
    </row>
    <row r="79" ht="22" customHeight="1">
      <c r="A79" s="50" t="n">
        <v>78</v>
      </c>
      <c r="B79" s="10" t="inlineStr">
        <is>
          <t>21.08 дневная (пт)</t>
        </is>
      </c>
      <c r="C79" s="52" t="n">
        <v>46255.47534722222</v>
      </c>
      <c r="D79" s="52" t="n">
        <v>46255.51167824074</v>
      </c>
      <c r="E79" s="73" t="n">
        <v>0.03633101851851852</v>
      </c>
      <c r="F79" s="10" t="inlineStr">
        <is>
          <t>Отлучка с рабочего места</t>
        </is>
      </c>
      <c r="G79" s="34" t="n">
        <v>0.03633101851851852</v>
      </c>
    </row>
    <row r="80" ht="22" customHeight="1">
      <c r="A80" s="50" t="n">
        <v>79</v>
      </c>
      <c r="B80" s="10" t="inlineStr">
        <is>
          <t>21.08 дневная (пт)</t>
        </is>
      </c>
      <c r="C80" s="52" t="n">
        <v>46255.68358796297</v>
      </c>
      <c r="D80" s="52" t="n">
        <v>46255.68672453704</v>
      </c>
      <c r="E80" s="34" t="n">
        <v>0.003136574074074074</v>
      </c>
      <c r="F80" s="10" t="inlineStr">
        <is>
          <t>Отлучка с рабочего места</t>
        </is>
      </c>
      <c r="G80" s="34" t="n">
        <v>0.003136574074074074</v>
      </c>
    </row>
    <row r="81" ht="22" customHeight="1">
      <c r="A81" s="50" t="n">
        <v>80</v>
      </c>
      <c r="B81" s="10" t="inlineStr">
        <is>
          <t>21.08 дневная (пт)</t>
        </is>
      </c>
      <c r="C81" s="52" t="n">
        <v>46255.79756944445</v>
      </c>
      <c r="D81" s="52" t="n">
        <v>46255.8249537037</v>
      </c>
      <c r="E81" s="73" t="n">
        <v>0.02738425925925926</v>
      </c>
      <c r="F81" s="10" t="inlineStr">
        <is>
          <t>Отлучка с рабочего места</t>
        </is>
      </c>
      <c r="G81" s="34" t="n">
        <v>0.02738425925925926</v>
      </c>
    </row>
    <row r="82" ht="22" customHeight="1">
      <c r="A82" s="35" t="n">
        <v>81</v>
      </c>
      <c r="B82" s="20" t="inlineStr">
        <is>
          <t>21.08 дневная (пт)</t>
        </is>
      </c>
      <c r="C82" s="77" t="n">
        <v>46255.87177083334</v>
      </c>
      <c r="D82" s="77" t="n">
        <v>46255.875</v>
      </c>
      <c r="E82" s="78" t="n">
        <v>0.003229166666666667</v>
      </c>
      <c r="F82" s="79" t="inlineStr">
        <is>
          <t>Ранний уход: уже не на рабочем месте</t>
        </is>
      </c>
      <c r="G82" s="78" t="n">
        <v>0.003229166666666667</v>
      </c>
    </row>
    <row r="83" ht="22" customHeight="1">
      <c r="A83" s="50" t="n">
        <v>82</v>
      </c>
      <c r="B83" s="10" t="inlineStr">
        <is>
          <t>23.08–24.08 ночная (вс–пн)</t>
        </is>
      </c>
      <c r="C83" s="52" t="n">
        <v>46258.070625</v>
      </c>
      <c r="D83" s="52" t="n">
        <v>46258.10587962963</v>
      </c>
      <c r="E83" s="73" t="n">
        <v>0.03525462962962963</v>
      </c>
      <c r="F83" s="10" t="inlineStr">
        <is>
          <t>Отлучка с рабочего места</t>
        </is>
      </c>
      <c r="G83" s="34" t="n">
        <v>0.03525462962962963</v>
      </c>
    </row>
    <row r="84" ht="22" customHeight="1">
      <c r="A84" s="50" t="n">
        <v>83</v>
      </c>
      <c r="B84" s="10" t="inlineStr">
        <is>
          <t>23.08–24.08 ночная (вс–пн)</t>
        </is>
      </c>
      <c r="C84" s="52" t="n">
        <v>46258.27674768519</v>
      </c>
      <c r="D84" s="52" t="n">
        <v>46258.30232638889</v>
      </c>
      <c r="E84" s="73" t="n">
        <v>0.0255787037037037</v>
      </c>
      <c r="F84" s="10" t="inlineStr">
        <is>
          <t>Отлучка с рабочего места</t>
        </is>
      </c>
      <c r="G84" s="34" t="n">
        <v>0.0255787037037037</v>
      </c>
    </row>
    <row r="85" ht="22" customHeight="1">
      <c r="A85" s="35" t="n">
        <v>84</v>
      </c>
      <c r="B85" s="20" t="inlineStr">
        <is>
          <t>23.08–24.08 ночная (вс–пн)</t>
        </is>
      </c>
      <c r="C85" s="77" t="n">
        <v>46258.36784722222</v>
      </c>
      <c r="D85" s="77" t="n">
        <v>46258.375</v>
      </c>
      <c r="E85" s="78" t="n">
        <v>0.007152777777777778</v>
      </c>
      <c r="F85" s="79" t="inlineStr">
        <is>
          <t>Ранний уход: уже не на рабочем месте</t>
        </is>
      </c>
      <c r="G85" s="78" t="n">
        <v>0.007152777777777778</v>
      </c>
    </row>
    <row r="86" ht="22" customHeight="1">
      <c r="A86" s="50" t="n">
        <v>85</v>
      </c>
      <c r="B86" s="10" t="inlineStr">
        <is>
          <t>24.08–25.08 ночная (пн–вт)</t>
        </is>
      </c>
      <c r="C86" s="52" t="n">
        <v>46258.93454861111</v>
      </c>
      <c r="D86" s="52" t="n">
        <v>46258.93540509259</v>
      </c>
      <c r="E86" s="34" t="n">
        <v>0.0008564814814814815</v>
      </c>
      <c r="F86" s="10" t="inlineStr">
        <is>
          <t>Отлучка с рабочего места</t>
        </is>
      </c>
      <c r="G86" s="34" t="n">
        <v>0.0008564814814814815</v>
      </c>
    </row>
    <row r="87" ht="22" customHeight="1">
      <c r="A87" s="50" t="n">
        <v>86</v>
      </c>
      <c r="B87" s="10" t="inlineStr">
        <is>
          <t>24.08–25.08 ночная (пн–вт)</t>
        </is>
      </c>
      <c r="C87" s="52" t="n">
        <v>46258.96771990741</v>
      </c>
      <c r="D87" s="52" t="n">
        <v>46258.97905092593</v>
      </c>
      <c r="E87" s="73" t="n">
        <v>0.01133101851851852</v>
      </c>
      <c r="F87" s="10" t="inlineStr">
        <is>
          <t>Отлучка с рабочего места</t>
        </is>
      </c>
      <c r="G87" s="34" t="n">
        <v>0.01133101851851852</v>
      </c>
    </row>
    <row r="88" ht="22" customHeight="1">
      <c r="A88" s="50" t="n">
        <v>87</v>
      </c>
      <c r="B88" s="10" t="inlineStr">
        <is>
          <t>24.08–25.08 ночная (пн–вт)</t>
        </is>
      </c>
      <c r="C88" s="52" t="n">
        <v>46259.12914351852</v>
      </c>
      <c r="D88" s="52" t="n">
        <v>46259.14243055556</v>
      </c>
      <c r="E88" s="73" t="n">
        <v>0.01328703703703704</v>
      </c>
      <c r="F88" s="10" t="inlineStr">
        <is>
          <t>Отлучка с рабочего места</t>
        </is>
      </c>
      <c r="G88" s="34" t="n">
        <v>0.01328703703703704</v>
      </c>
    </row>
    <row r="89" ht="22" customHeight="1">
      <c r="A89" s="50" t="n">
        <v>88</v>
      </c>
      <c r="B89" s="10" t="inlineStr">
        <is>
          <t>24.08–25.08 ночная (пн–вт)</t>
        </is>
      </c>
      <c r="C89" s="52" t="n">
        <v>46259.24743055556</v>
      </c>
      <c r="D89" s="52" t="n">
        <v>46259.259375</v>
      </c>
      <c r="E89" s="73" t="n">
        <v>0.01194444444444445</v>
      </c>
      <c r="F89" s="10" t="inlineStr">
        <is>
          <t>Отлучка с рабочего места</t>
        </is>
      </c>
      <c r="G89" s="34" t="n">
        <v>0.01194444444444445</v>
      </c>
    </row>
    <row r="90" ht="22" customHeight="1">
      <c r="A90" s="35" t="n">
        <v>89</v>
      </c>
      <c r="B90" s="20" t="inlineStr">
        <is>
          <t>24.08–25.08 ночная (пн–вт)</t>
        </is>
      </c>
      <c r="C90" s="77" t="n">
        <v>46259.37048611111</v>
      </c>
      <c r="D90" s="77" t="n">
        <v>46259.375</v>
      </c>
      <c r="E90" s="78" t="n">
        <v>0.004513888888888888</v>
      </c>
      <c r="F90" s="79" t="inlineStr">
        <is>
          <t>Ранний уход: уже не на рабочем месте</t>
        </is>
      </c>
      <c r="G90" s="78" t="n">
        <v>0.004513888888888888</v>
      </c>
    </row>
    <row r="91" ht="22" customHeight="1">
      <c r="A91" s="50" t="n">
        <v>90</v>
      </c>
      <c r="B91" s="10" t="inlineStr">
        <is>
          <t>28.08 дневная (пт)</t>
        </is>
      </c>
      <c r="C91" s="52" t="n">
        <v>46262.50293981482</v>
      </c>
      <c r="D91" s="52" t="n">
        <v>46262.53938657408</v>
      </c>
      <c r="E91" s="73" t="n">
        <v>0.03644675925925926</v>
      </c>
      <c r="F91" s="10" t="inlineStr">
        <is>
          <t>Отлучка с рабочего места</t>
        </is>
      </c>
      <c r="G91" s="34" t="n">
        <v>0.03644675925925926</v>
      </c>
    </row>
    <row r="92" ht="22" customHeight="1">
      <c r="A92" s="50" t="n">
        <v>91</v>
      </c>
      <c r="B92" s="10" t="inlineStr">
        <is>
          <t>28.08 дневная (пт)</t>
        </is>
      </c>
      <c r="C92" s="52" t="n">
        <v>46262.6228587963</v>
      </c>
      <c r="D92" s="52" t="n">
        <v>46262.62465277778</v>
      </c>
      <c r="E92" s="34" t="n">
        <v>0.001793981481481481</v>
      </c>
      <c r="F92" s="10" t="inlineStr">
        <is>
          <t>Отлучка с рабочего места</t>
        </is>
      </c>
      <c r="G92" s="34" t="n">
        <v>0.001793981481481481</v>
      </c>
    </row>
    <row r="93" ht="22" customHeight="1">
      <c r="A93" s="50" t="n">
        <v>92</v>
      </c>
      <c r="B93" s="10" t="inlineStr">
        <is>
          <t>28.08 дневная (пт)</t>
        </is>
      </c>
      <c r="C93" s="52" t="n">
        <v>46262.78126157408</v>
      </c>
      <c r="D93" s="52" t="n">
        <v>46262.79130787037</v>
      </c>
      <c r="E93" s="73" t="n">
        <v>0.0100462962962963</v>
      </c>
      <c r="F93" s="10" t="inlineStr">
        <is>
          <t>Отлучка с рабочего места</t>
        </is>
      </c>
      <c r="G93" s="34" t="n">
        <v>0.0100462962962963</v>
      </c>
    </row>
    <row r="94" ht="22" customHeight="1">
      <c r="A94" s="35" t="n">
        <v>93</v>
      </c>
      <c r="B94" s="20" t="inlineStr">
        <is>
          <t>28.08 дневная (пт)</t>
        </is>
      </c>
      <c r="C94" s="77" t="n">
        <v>46262.87347222222</v>
      </c>
      <c r="D94" s="77" t="n">
        <v>46262.875</v>
      </c>
      <c r="E94" s="78" t="n">
        <v>0.001527777777777778</v>
      </c>
      <c r="F94" s="79" t="inlineStr">
        <is>
          <t>Ранний уход: уже не на рабочем месте</t>
        </is>
      </c>
      <c r="G94" s="78" t="n">
        <v>0.001527777777777778</v>
      </c>
    </row>
    <row r="95" ht="22" customHeight="1">
      <c r="A95" s="50" t="n">
        <v>94</v>
      </c>
      <c r="B95" s="10" t="inlineStr">
        <is>
          <t>29.08 дневная (сб)</t>
        </is>
      </c>
      <c r="C95" s="52" t="n">
        <v>46263.49519675926</v>
      </c>
      <c r="D95" s="52" t="n">
        <v>46263.51474537037</v>
      </c>
      <c r="E95" s="73" t="n">
        <v>0.01954861111111111</v>
      </c>
      <c r="F95" s="10" t="inlineStr">
        <is>
          <t>Отлучка с рабочего места</t>
        </is>
      </c>
      <c r="G95" s="34" t="n">
        <v>0.01954861111111111</v>
      </c>
    </row>
    <row r="96" ht="22" customHeight="1">
      <c r="A96" s="50" t="n">
        <v>95</v>
      </c>
      <c r="B96" s="10" t="inlineStr">
        <is>
          <t>29.08 дневная (сб)</t>
        </is>
      </c>
      <c r="C96" s="52" t="n">
        <v>46263.5949537037</v>
      </c>
      <c r="D96" s="52" t="n">
        <v>46263.59582175926</v>
      </c>
      <c r="E96" s="34" t="n">
        <v>0.0008680555555555555</v>
      </c>
      <c r="F96" s="10" t="inlineStr">
        <is>
          <t>Отлучка с рабочего места</t>
        </is>
      </c>
      <c r="G96" s="34" t="n">
        <v>0.0008680555555555555</v>
      </c>
    </row>
    <row r="97" ht="22" customHeight="1">
      <c r="A97" s="50" t="n">
        <v>96</v>
      </c>
      <c r="B97" s="10" t="inlineStr">
        <is>
          <t>29.08 дневная (сб)</t>
        </is>
      </c>
      <c r="C97" s="52" t="n">
        <v>46263.65344907407</v>
      </c>
      <c r="D97" s="52" t="n">
        <v>46263.65730324074</v>
      </c>
      <c r="E97" s="34" t="n">
        <v>0.003854166666666667</v>
      </c>
      <c r="F97" s="10" t="inlineStr">
        <is>
          <t>Отлучка с рабочего места</t>
        </is>
      </c>
      <c r="G97" s="34" t="n">
        <v>0.003854166666666667</v>
      </c>
    </row>
    <row r="98" ht="22" customHeight="1">
      <c r="A98" s="35" t="n">
        <v>97</v>
      </c>
      <c r="B98" s="20" t="inlineStr">
        <is>
          <t>29.08 дневная (сб)</t>
        </is>
      </c>
      <c r="C98" s="77" t="n">
        <v>46263.86400462963</v>
      </c>
      <c r="D98" s="77" t="n">
        <v>46263.875</v>
      </c>
      <c r="E98" s="78" t="n">
        <v>0.01099537037037037</v>
      </c>
      <c r="F98" s="79" t="inlineStr">
        <is>
          <t>Ранний уход: уже не на рабочем месте</t>
        </is>
      </c>
      <c r="G98" s="78" t="n">
        <v>0.01099537037037037</v>
      </c>
    </row>
    <row r="99" ht="22" customHeight="1">
      <c r="A99" s="50" t="n">
        <v>98</v>
      </c>
      <c r="B99" s="10" t="inlineStr">
        <is>
          <t>30.08–31.08 ночная (вс–пн)</t>
        </is>
      </c>
      <c r="C99" s="52" t="n">
        <v>46264.96887731482</v>
      </c>
      <c r="D99" s="52" t="n">
        <v>46264.97851851852</v>
      </c>
      <c r="E99" s="73" t="n">
        <v>0.009641203703703704</v>
      </c>
      <c r="F99" s="10" t="inlineStr">
        <is>
          <t>Отлучка с рабочего места</t>
        </is>
      </c>
      <c r="G99" s="34" t="n">
        <v>0.009641203703703704</v>
      </c>
    </row>
    <row r="100" ht="22" customHeight="1">
      <c r="A100" s="50" t="n">
        <v>99</v>
      </c>
      <c r="B100" s="10" t="inlineStr">
        <is>
          <t>30.08–31.08 ночная (вс–пн)</t>
        </is>
      </c>
      <c r="C100" s="52" t="n">
        <v>46265.1340625</v>
      </c>
      <c r="D100" s="52" t="n">
        <v>46265.13560185185</v>
      </c>
      <c r="E100" s="34" t="n">
        <v>0.001539351851851852</v>
      </c>
      <c r="F100" s="10" t="inlineStr">
        <is>
          <t>Отлучка с рабочего места</t>
        </is>
      </c>
      <c r="G100" s="34" t="n">
        <v>0.001539351851851852</v>
      </c>
    </row>
    <row r="101" ht="22" customHeight="1">
      <c r="A101" s="50" t="n">
        <v>100</v>
      </c>
      <c r="B101" s="10" t="inlineStr">
        <is>
          <t>30.08–31.08 ночная (вс–пн)</t>
        </is>
      </c>
      <c r="C101" s="52" t="n">
        <v>46265.23033564815</v>
      </c>
      <c r="D101" s="52" t="n">
        <v>46265.24939814815</v>
      </c>
      <c r="E101" s="73" t="n">
        <v>0.0190625</v>
      </c>
      <c r="F101" s="10" t="inlineStr">
        <is>
          <t>Отлучка с рабочего места</t>
        </is>
      </c>
      <c r="G101" s="34" t="n">
        <v>0.0190625</v>
      </c>
    </row>
    <row r="102" ht="22" customHeight="1">
      <c r="A102" s="35" t="n">
        <v>101</v>
      </c>
      <c r="B102" s="20" t="inlineStr">
        <is>
          <t>30.08–31.08 ночная (вс–пн)</t>
        </is>
      </c>
      <c r="C102" s="77" t="n">
        <v>46265.36237268519</v>
      </c>
      <c r="D102" s="77" t="n">
        <v>46265.375</v>
      </c>
      <c r="E102" s="78" t="n">
        <v>0.01262731481481482</v>
      </c>
      <c r="F102" s="79" t="inlineStr">
        <is>
          <t>Ранний уход: уже не на рабочем месте</t>
        </is>
      </c>
      <c r="G102" s="78" t="n">
        <v>0.01262731481481482</v>
      </c>
    </row>
    <row r="103" ht="22" customHeight="1">
      <c r="A103" s="50" t="n">
        <v>102</v>
      </c>
      <c r="B103" s="10" t="inlineStr">
        <is>
          <t>31.08–01.09 ночная (пн–вт)</t>
        </is>
      </c>
      <c r="C103" s="52" t="n">
        <v>46265.94534722222</v>
      </c>
      <c r="D103" s="52" t="n">
        <v>46265.95636574074</v>
      </c>
      <c r="E103" s="73" t="n">
        <v>0.01101851851851852</v>
      </c>
      <c r="F103" s="10" t="inlineStr">
        <is>
          <t>Отлучка с рабочего места</t>
        </is>
      </c>
      <c r="G103" s="34" t="n">
        <v>0.01101851851851852</v>
      </c>
    </row>
    <row r="104" ht="22" customHeight="1">
      <c r="A104" s="50" t="n">
        <v>103</v>
      </c>
      <c r="B104" s="10" t="inlineStr">
        <is>
          <t>31.08–01.09 ночная (пн–вт)</t>
        </is>
      </c>
      <c r="C104" s="52" t="n">
        <v>46265.98650462963</v>
      </c>
      <c r="D104" s="52" t="n">
        <v>46265.98733796296</v>
      </c>
      <c r="E104" s="34" t="n">
        <v>0.0008333333333333334</v>
      </c>
      <c r="F104" s="10" t="inlineStr">
        <is>
          <t>Отлучка с рабочего места</t>
        </is>
      </c>
      <c r="G104" s="34" t="n">
        <v>0.0008333333333333334</v>
      </c>
    </row>
    <row r="106">
      <c r="B106" s="83" t="inlineStr">
        <is>
          <t>Итого длительность перечисленных интервалов</t>
        </is>
      </c>
      <c r="E106" s="84">
        <f>SUM(E2:E104)</f>
        <v/>
      </c>
    </row>
    <row r="108">
      <c r="B108" s="69" t="inlineStr">
        <is>
          <t>Интервалы разного вида складывать между собой как «время отсутствия» можно только внутри одной смены: опоздание, отлучки и ранний уход не пересекаются. Строка итога суммирует все строки листа, включая фрагмент неполной смены.</t>
        </is>
      </c>
    </row>
  </sheetData>
  <autoFilter ref="A1:G104"/>
  <mergeCells count="1">
    <mergeCell ref="B108:G108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14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4" customWidth="1" min="3" max="3"/>
    <col width="24" customWidth="1" min="4" max="4"/>
    <col width="16" customWidth="1" min="5" max="5"/>
    <col width="24" customWidth="1" min="6" max="6"/>
    <col width="62" customWidth="1" min="7" max="7"/>
  </cols>
  <sheetData>
    <row r="1" ht="24" customHeight="1">
      <c r="A1" s="7" t="inlineStr">
        <is>
          <t>№</t>
        </is>
      </c>
      <c r="B1" s="7" t="inlineStr">
        <is>
          <t>Смена</t>
        </is>
      </c>
      <c r="C1" s="7" t="inlineStr">
        <is>
          <t>Вход в чистую зону</t>
        </is>
      </c>
      <c r="D1" s="7" t="inlineStr">
        <is>
          <t>Выход из чистой зоны</t>
        </is>
      </c>
      <c r="E1" s="7" t="inlineStr">
        <is>
          <t>Длительность</t>
        </is>
      </c>
      <c r="F1" s="7" t="inlineStr">
        <is>
          <t>Из них внутри графика</t>
        </is>
      </c>
      <c r="G1" s="7" t="inlineStr">
        <is>
          <t>Примечание</t>
        </is>
      </c>
    </row>
    <row r="2" ht="20" customHeight="1">
      <c r="A2" s="50" t="n">
        <v>1</v>
      </c>
      <c r="B2" s="10" t="inlineStr">
        <is>
          <t>30.06–01.07 ночная (вт–ср)</t>
        </is>
      </c>
      <c r="C2" s="52" t="n">
        <v>46204.09622685185</v>
      </c>
      <c r="D2" s="52" t="n">
        <v>46204.2855324074</v>
      </c>
      <c r="E2" s="34" t="n">
        <v>0.1893055555555556</v>
      </c>
      <c r="F2" s="34" t="n">
        <v>0.1893055555555556</v>
      </c>
      <c r="G2" s="10" t="inlineStr">
        <is>
          <t>Первый вход</t>
        </is>
      </c>
    </row>
    <row r="3" ht="20" customHeight="1">
      <c r="A3" s="50" t="n">
        <v>2</v>
      </c>
      <c r="B3" s="10" t="inlineStr">
        <is>
          <t>30.06–01.07 ночная (вт–ср)</t>
        </is>
      </c>
      <c r="C3" s="52" t="n">
        <v>46204.29585648148</v>
      </c>
      <c r="D3" s="75" t="n">
        <v>46204.37451388889</v>
      </c>
      <c r="E3" s="34" t="n">
        <v>0.07865740740740741</v>
      </c>
      <c r="F3" s="34" t="n">
        <v>0.07865740740740741</v>
      </c>
      <c r="G3" s="38" t="inlineStr">
        <is>
          <t>Последний выход меньше чем на минуту раньше конца смены</t>
        </is>
      </c>
    </row>
    <row r="4" ht="20" customHeight="1">
      <c r="A4" s="50" t="n">
        <v>3</v>
      </c>
      <c r="B4" s="10" t="inlineStr">
        <is>
          <t>03.07 дневная (пт)</t>
        </is>
      </c>
      <c r="C4" s="52" t="n">
        <v>46206.36483796296</v>
      </c>
      <c r="D4" s="52" t="n">
        <v>46206.45542824074</v>
      </c>
      <c r="E4" s="34" t="n">
        <v>0.09059027777777778</v>
      </c>
      <c r="F4" s="34" t="n">
        <v>0.08042824074074074</v>
      </c>
      <c r="G4" s="10" t="inlineStr">
        <is>
          <t>Первый вход до начала смены</t>
        </is>
      </c>
    </row>
    <row r="5" ht="20" customHeight="1">
      <c r="A5" s="50" t="n">
        <v>4</v>
      </c>
      <c r="B5" s="10" t="inlineStr">
        <is>
          <t>03.07 дневная (пт)</t>
        </is>
      </c>
      <c r="C5" s="52" t="n">
        <v>46206.45638888889</v>
      </c>
      <c r="D5" s="52" t="n">
        <v>46206.54399305556</v>
      </c>
      <c r="E5" s="34" t="n">
        <v>0.08760416666666666</v>
      </c>
      <c r="F5" s="34" t="n">
        <v>0.08760416666666666</v>
      </c>
      <c r="G5" s="10" t="inlineStr">
        <is>
          <t>Находился на рабочем месте</t>
        </is>
      </c>
    </row>
    <row r="6" ht="20" customHeight="1">
      <c r="A6" s="50" t="n">
        <v>5</v>
      </c>
      <c r="B6" s="10" t="inlineStr">
        <is>
          <t>03.07 дневная (пт)</t>
        </is>
      </c>
      <c r="C6" s="52" t="n">
        <v>46206.55710648148</v>
      </c>
      <c r="D6" s="52" t="n">
        <v>46206.69793981482</v>
      </c>
      <c r="E6" s="34" t="n">
        <v>0.1408333333333333</v>
      </c>
      <c r="F6" s="34" t="n">
        <v>0.1408333333333333</v>
      </c>
      <c r="G6" s="10" t="inlineStr">
        <is>
          <t>Находился на рабочем месте</t>
        </is>
      </c>
    </row>
    <row r="7" ht="20" customHeight="1">
      <c r="A7" s="50" t="n">
        <v>6</v>
      </c>
      <c r="B7" s="10" t="inlineStr">
        <is>
          <t>03.07 дневная (пт)</t>
        </is>
      </c>
      <c r="C7" s="52" t="n">
        <v>46206.7000462963</v>
      </c>
      <c r="D7" s="59" t="n">
        <v>46206.86743055555</v>
      </c>
      <c r="E7" s="34" t="n">
        <v>0.1673842592592593</v>
      </c>
      <c r="F7" s="34" t="n">
        <v>0.1673842592592593</v>
      </c>
      <c r="G7" s="79" t="inlineStr">
        <is>
          <t>Последний выход — ранний уход</t>
        </is>
      </c>
    </row>
    <row r="8" ht="20" customHeight="1">
      <c r="A8" s="50" t="n">
        <v>7</v>
      </c>
      <c r="B8" s="10" t="inlineStr">
        <is>
          <t>04.07 дневная (сб)</t>
        </is>
      </c>
      <c r="C8" s="52" t="n">
        <v>46207.36597222222</v>
      </c>
      <c r="D8" s="59" t="n">
        <v>46207.45238425926</v>
      </c>
      <c r="E8" s="34" t="n">
        <v>0.08641203703703704</v>
      </c>
      <c r="F8" s="34" t="n">
        <v>0.07738425925925926</v>
      </c>
      <c r="G8" s="79" t="inlineStr">
        <is>
          <t>Первый вход до начала смены; Последний выход — ранний уход</t>
        </is>
      </c>
    </row>
    <row r="9" ht="20" customHeight="1">
      <c r="A9" s="50" t="n">
        <v>8</v>
      </c>
      <c r="B9" s="10" t="inlineStr">
        <is>
          <t>05.07 дневная (вс)</t>
        </is>
      </c>
      <c r="C9" s="52" t="n">
        <v>46208.3665625</v>
      </c>
      <c r="D9" s="52" t="n">
        <v>46208.55228009259</v>
      </c>
      <c r="E9" s="34" t="n">
        <v>0.1857175925925926</v>
      </c>
      <c r="F9" s="34" t="n">
        <v>0.1772800925925926</v>
      </c>
      <c r="G9" s="10" t="inlineStr">
        <is>
          <t>Первый вход до начала смены</t>
        </is>
      </c>
    </row>
    <row r="10" ht="20" customHeight="1">
      <c r="A10" s="50" t="n">
        <v>9</v>
      </c>
      <c r="B10" s="10" t="inlineStr">
        <is>
          <t>05.07 дневная (вс)</t>
        </is>
      </c>
      <c r="C10" s="52" t="n">
        <v>46208.56621527778</v>
      </c>
      <c r="D10" s="52" t="n">
        <v>46208.71152777778</v>
      </c>
      <c r="E10" s="34" t="n">
        <v>0.1453125</v>
      </c>
      <c r="F10" s="34" t="n">
        <v>0.1453125</v>
      </c>
      <c r="G10" s="10" t="inlineStr">
        <is>
          <t>Находился на рабочем месте</t>
        </is>
      </c>
    </row>
    <row r="11" ht="20" customHeight="1">
      <c r="A11" s="50" t="n">
        <v>10</v>
      </c>
      <c r="B11" s="10" t="inlineStr">
        <is>
          <t>05.07 дневная (вс)</t>
        </is>
      </c>
      <c r="C11" s="52" t="n">
        <v>46208.71915509259</v>
      </c>
      <c r="D11" s="59" t="n">
        <v>46208.86725694445</v>
      </c>
      <c r="E11" s="34" t="n">
        <v>0.1481018518518518</v>
      </c>
      <c r="F11" s="34" t="n">
        <v>0.1481018518518518</v>
      </c>
      <c r="G11" s="79" t="inlineStr">
        <is>
          <t>Последний выход — ранний уход</t>
        </is>
      </c>
    </row>
    <row r="12" ht="20" customHeight="1">
      <c r="A12" s="50" t="n">
        <v>11</v>
      </c>
      <c r="B12" s="10" t="inlineStr">
        <is>
          <t>06.07–07.07 ночная (пн–вт)</t>
        </is>
      </c>
      <c r="C12" s="52" t="n">
        <v>46209.86171296296</v>
      </c>
      <c r="D12" s="52" t="n">
        <v>46210.0312962963</v>
      </c>
      <c r="E12" s="34" t="n">
        <v>0.1695833333333333</v>
      </c>
      <c r="F12" s="34" t="n">
        <v>0.1562962962962963</v>
      </c>
      <c r="G12" s="10" t="inlineStr">
        <is>
          <t>Первый вход до начала смены</t>
        </is>
      </c>
    </row>
    <row r="13" ht="20" customHeight="1">
      <c r="A13" s="50" t="n">
        <v>12</v>
      </c>
      <c r="B13" s="10" t="inlineStr">
        <is>
          <t>06.07–07.07 ночная (пн–вт)</t>
        </is>
      </c>
      <c r="C13" s="52" t="n">
        <v>46210.04856481482</v>
      </c>
      <c r="D13" s="52" t="n">
        <v>46210.2763425926</v>
      </c>
      <c r="E13" s="34" t="n">
        <v>0.2277777777777778</v>
      </c>
      <c r="F13" s="34" t="n">
        <v>0.2277777777777778</v>
      </c>
      <c r="G13" s="10" t="inlineStr">
        <is>
          <t>Находился на рабочем месте</t>
        </is>
      </c>
    </row>
    <row r="14" ht="20" customHeight="1">
      <c r="A14" s="50" t="n">
        <v>13</v>
      </c>
      <c r="B14" s="10" t="inlineStr">
        <is>
          <t>06.07–07.07 ночная (пн–вт)</t>
        </is>
      </c>
      <c r="C14" s="52" t="n">
        <v>46210.2846875</v>
      </c>
      <c r="D14" s="52" t="n">
        <v>46210.37637731482</v>
      </c>
      <c r="E14" s="34" t="n">
        <v>0.09168981481481482</v>
      </c>
      <c r="F14" s="34" t="n">
        <v>0.0903125</v>
      </c>
      <c r="G14" s="10" t="inlineStr">
        <is>
          <t>Последний выход после конца смены</t>
        </is>
      </c>
    </row>
    <row r="15" ht="20" customHeight="1">
      <c r="A15" s="50" t="n">
        <v>14</v>
      </c>
      <c r="B15" s="10" t="inlineStr">
        <is>
          <t>07.07–08.07 ночная (вт–ср)</t>
        </is>
      </c>
      <c r="C15" s="52" t="n">
        <v>46210.86542824074</v>
      </c>
      <c r="D15" s="52" t="n">
        <v>46211.00703703704</v>
      </c>
      <c r="E15" s="34" t="n">
        <v>0.1416087962962963</v>
      </c>
      <c r="F15" s="34" t="n">
        <v>0.132037037037037</v>
      </c>
      <c r="G15" s="10" t="inlineStr">
        <is>
          <t>Первый вход до начала смены</t>
        </is>
      </c>
    </row>
    <row r="16" ht="20" customHeight="1">
      <c r="A16" s="50" t="n">
        <v>15</v>
      </c>
      <c r="B16" s="10" t="inlineStr">
        <is>
          <t>07.07–08.07 ночная (вт–ср)</t>
        </is>
      </c>
      <c r="C16" s="52" t="n">
        <v>46211.0155787037</v>
      </c>
      <c r="D16" s="52" t="n">
        <v>46211.2762037037</v>
      </c>
      <c r="E16" s="34" t="n">
        <v>0.260625</v>
      </c>
      <c r="F16" s="34" t="n">
        <v>0.260625</v>
      </c>
      <c r="G16" s="10" t="inlineStr">
        <is>
          <t>Находился на рабочем месте</t>
        </is>
      </c>
    </row>
    <row r="17" ht="20" customHeight="1">
      <c r="A17" s="50" t="n">
        <v>16</v>
      </c>
      <c r="B17" s="10" t="inlineStr">
        <is>
          <t>07.07–08.07 ночная (вт–ср)</t>
        </is>
      </c>
      <c r="C17" s="52" t="n">
        <v>46211.28325231482</v>
      </c>
      <c r="D17" s="59" t="n">
        <v>46211.37239583334</v>
      </c>
      <c r="E17" s="34" t="n">
        <v>0.08914351851851852</v>
      </c>
      <c r="F17" s="34" t="n">
        <v>0.08914351851851852</v>
      </c>
      <c r="G17" s="79" t="inlineStr">
        <is>
          <t>Последний выход — ранний уход</t>
        </is>
      </c>
    </row>
    <row r="18" ht="20" customHeight="1">
      <c r="A18" s="50" t="n">
        <v>17</v>
      </c>
      <c r="B18" s="10" t="inlineStr">
        <is>
          <t>11.07 дневная (сб)</t>
        </is>
      </c>
      <c r="C18" s="52" t="n">
        <v>46214.3677662037</v>
      </c>
      <c r="D18" s="52" t="n">
        <v>46214.55958333334</v>
      </c>
      <c r="E18" s="34" t="n">
        <v>0.1918171296296296</v>
      </c>
      <c r="F18" s="34" t="n">
        <v>0.1845833333333333</v>
      </c>
      <c r="G18" s="10" t="inlineStr">
        <is>
          <t>Первый вход до начала смены</t>
        </is>
      </c>
    </row>
    <row r="19" ht="20" customHeight="1">
      <c r="A19" s="50" t="n">
        <v>18</v>
      </c>
      <c r="B19" s="10" t="inlineStr">
        <is>
          <t>11.07 дневная (сб)</t>
        </is>
      </c>
      <c r="C19" s="52" t="n">
        <v>46214.58318287037</v>
      </c>
      <c r="D19" s="52" t="n">
        <v>46214.59535879629</v>
      </c>
      <c r="E19" s="34" t="n">
        <v>0.01217592592592593</v>
      </c>
      <c r="F19" s="34" t="n">
        <v>0.01217592592592593</v>
      </c>
      <c r="G19" s="10" t="inlineStr">
        <is>
          <t>Находился на рабочем месте</t>
        </is>
      </c>
    </row>
    <row r="20" ht="20" customHeight="1">
      <c r="A20" s="50" t="n">
        <v>19</v>
      </c>
      <c r="B20" s="10" t="inlineStr">
        <is>
          <t>11.07 дневная (сб)</t>
        </is>
      </c>
      <c r="C20" s="52" t="n">
        <v>46214.59594907407</v>
      </c>
      <c r="D20" s="52" t="n">
        <v>46214.71738425926</v>
      </c>
      <c r="E20" s="34" t="n">
        <v>0.1214351851851852</v>
      </c>
      <c r="F20" s="34" t="n">
        <v>0.1214351851851852</v>
      </c>
      <c r="G20" s="10" t="inlineStr">
        <is>
          <t>Находился на рабочем месте</t>
        </is>
      </c>
    </row>
    <row r="21" ht="20" customHeight="1">
      <c r="A21" s="50" t="n">
        <v>20</v>
      </c>
      <c r="B21" s="10" t="inlineStr">
        <is>
          <t>11.07 дневная (сб)</t>
        </is>
      </c>
      <c r="C21" s="52" t="n">
        <v>46214.71962962963</v>
      </c>
      <c r="D21" s="52" t="n">
        <v>46214.81645833333</v>
      </c>
      <c r="E21" s="34" t="n">
        <v>0.09682870370370371</v>
      </c>
      <c r="F21" s="34" t="n">
        <v>0.09682870370370371</v>
      </c>
      <c r="G21" s="10" t="inlineStr">
        <is>
          <t>Находился на рабочем месте</t>
        </is>
      </c>
    </row>
    <row r="22" ht="20" customHeight="1">
      <c r="A22" s="50" t="n">
        <v>21</v>
      </c>
      <c r="B22" s="10" t="inlineStr">
        <is>
          <t>11.07 дневная (сб)</t>
        </is>
      </c>
      <c r="C22" s="52" t="n">
        <v>46214.82475694444</v>
      </c>
      <c r="D22" s="52" t="n">
        <v>46214.87760416666</v>
      </c>
      <c r="E22" s="34" t="n">
        <v>0.05284722222222222</v>
      </c>
      <c r="F22" s="34" t="n">
        <v>0.05024305555555555</v>
      </c>
      <c r="G22" s="10" t="inlineStr">
        <is>
          <t>Находился на рабочем месте</t>
        </is>
      </c>
    </row>
    <row r="23" ht="20" customHeight="1">
      <c r="A23" s="50" t="n">
        <v>22</v>
      </c>
      <c r="B23" s="10" t="inlineStr">
        <is>
          <t>11.07 дневная (сб)</t>
        </is>
      </c>
      <c r="C23" s="52" t="n">
        <v>46214.88</v>
      </c>
      <c r="D23" s="52" t="n">
        <v>46214.88273148148</v>
      </c>
      <c r="E23" s="34" t="n">
        <v>0.002731481481481481</v>
      </c>
      <c r="F23" s="34" t="n">
        <v>0</v>
      </c>
      <c r="G23" s="10" t="inlineStr">
        <is>
          <t>Последний выход после конца смены</t>
        </is>
      </c>
    </row>
    <row r="24" ht="20" customHeight="1">
      <c r="A24" s="50" t="n">
        <v>23</v>
      </c>
      <c r="B24" s="10" t="inlineStr">
        <is>
          <t>12.07 дневная (вс)</t>
        </is>
      </c>
      <c r="C24" s="52" t="n">
        <v>46215.36630787037</v>
      </c>
      <c r="D24" s="52" t="n">
        <v>46215.42690972222</v>
      </c>
      <c r="E24" s="34" t="n">
        <v>0.06060185185185185</v>
      </c>
      <c r="F24" s="34" t="n">
        <v>0.05190972222222223</v>
      </c>
      <c r="G24" s="10" t="inlineStr">
        <is>
          <t>Первый вход до начала смены</t>
        </is>
      </c>
    </row>
    <row r="25" ht="20" customHeight="1">
      <c r="A25" s="50" t="n">
        <v>24</v>
      </c>
      <c r="B25" s="10" t="inlineStr">
        <is>
          <t>12.07 дневная (вс)</t>
        </is>
      </c>
      <c r="C25" s="52" t="n">
        <v>46215.42765046296</v>
      </c>
      <c r="D25" s="52" t="n">
        <v>46215.48077546297</v>
      </c>
      <c r="E25" s="34" t="n">
        <v>0.053125</v>
      </c>
      <c r="F25" s="34" t="n">
        <v>0.053125</v>
      </c>
      <c r="G25" s="10" t="inlineStr">
        <is>
          <t>Находился на рабочем месте</t>
        </is>
      </c>
    </row>
    <row r="26" ht="20" customHeight="1">
      <c r="A26" s="50" t="n">
        <v>25</v>
      </c>
      <c r="B26" s="10" t="inlineStr">
        <is>
          <t>12.07 дневная (вс)</t>
        </is>
      </c>
      <c r="C26" s="52" t="n">
        <v>46215.50001157408</v>
      </c>
      <c r="D26" s="52" t="n">
        <v>46215.60164351852</v>
      </c>
      <c r="E26" s="34" t="n">
        <v>0.1016319444444444</v>
      </c>
      <c r="F26" s="34" t="n">
        <v>0.1016319444444444</v>
      </c>
      <c r="G26" s="10" t="inlineStr">
        <is>
          <t>Находился на рабочем месте</t>
        </is>
      </c>
    </row>
    <row r="27" ht="20" customHeight="1">
      <c r="A27" s="50" t="n">
        <v>26</v>
      </c>
      <c r="B27" s="10" t="inlineStr">
        <is>
          <t>12.07 дневная (вс)</t>
        </is>
      </c>
      <c r="C27" s="52" t="n">
        <v>46215.61611111111</v>
      </c>
      <c r="D27" s="52" t="n">
        <v>46215.7771875</v>
      </c>
      <c r="E27" s="34" t="n">
        <v>0.1610763888888889</v>
      </c>
      <c r="F27" s="34" t="n">
        <v>0.1610763888888889</v>
      </c>
      <c r="G27" s="10" t="inlineStr">
        <is>
          <t>Находился на рабочем месте</t>
        </is>
      </c>
    </row>
    <row r="28" ht="20" customHeight="1">
      <c r="A28" s="50" t="n">
        <v>27</v>
      </c>
      <c r="B28" s="10" t="inlineStr">
        <is>
          <t>12.07 дневная (вс)</t>
        </is>
      </c>
      <c r="C28" s="52" t="n">
        <v>46215.78855324074</v>
      </c>
      <c r="D28" s="52" t="n">
        <v>46215.87616898148</v>
      </c>
      <c r="E28" s="34" t="n">
        <v>0.08761574074074074</v>
      </c>
      <c r="F28" s="34" t="n">
        <v>0.08644675925925926</v>
      </c>
      <c r="G28" s="10" t="inlineStr">
        <is>
          <t>Последний выход после конца смены</t>
        </is>
      </c>
    </row>
    <row r="29" ht="20" customHeight="1">
      <c r="A29" s="50" t="n">
        <v>28</v>
      </c>
      <c r="B29" s="10" t="inlineStr">
        <is>
          <t>14.07–15.07 ночная (вт–ср)</t>
        </is>
      </c>
      <c r="C29" s="52" t="n">
        <v>46217.87049768519</v>
      </c>
      <c r="D29" s="52" t="n">
        <v>46217.97439814815</v>
      </c>
      <c r="E29" s="34" t="n">
        <v>0.103900462962963</v>
      </c>
      <c r="F29" s="34" t="n">
        <v>0.09939814814814815</v>
      </c>
      <c r="G29" s="10" t="inlineStr">
        <is>
          <t>Первый вход до начала смены</t>
        </is>
      </c>
    </row>
    <row r="30" ht="20" customHeight="1">
      <c r="A30" s="50" t="n">
        <v>29</v>
      </c>
      <c r="B30" s="10" t="inlineStr">
        <is>
          <t>14.07–15.07 ночная (вт–ср)</t>
        </is>
      </c>
      <c r="C30" s="52" t="n">
        <v>46217.98533564815</v>
      </c>
      <c r="D30" s="52" t="n">
        <v>46218.27873842593</v>
      </c>
      <c r="E30" s="34" t="n">
        <v>0.2934027777777778</v>
      </c>
      <c r="F30" s="34" t="n">
        <v>0.2934027777777778</v>
      </c>
      <c r="G30" s="10" t="inlineStr">
        <is>
          <t>Находился на рабочем месте</t>
        </is>
      </c>
    </row>
    <row r="31" ht="20" customHeight="1">
      <c r="A31" s="50" t="n">
        <v>30</v>
      </c>
      <c r="B31" s="10" t="inlineStr">
        <is>
          <t>14.07–15.07 ночная (вт–ср)</t>
        </is>
      </c>
      <c r="C31" s="52" t="n">
        <v>46218.28681712963</v>
      </c>
      <c r="D31" s="52" t="n">
        <v>46218.37935185185</v>
      </c>
      <c r="E31" s="34" t="n">
        <v>0.09253472222222223</v>
      </c>
      <c r="F31" s="34" t="n">
        <v>0.08818287037037037</v>
      </c>
      <c r="G31" s="10" t="inlineStr">
        <is>
          <t>Последний выход после конца смены</t>
        </is>
      </c>
    </row>
    <row r="32" ht="20" customHeight="1">
      <c r="A32" s="50" t="n">
        <v>31</v>
      </c>
      <c r="B32" s="10" t="inlineStr">
        <is>
          <t>15.07–16.07 ночная (ср–чт)</t>
        </is>
      </c>
      <c r="C32" s="52" t="n">
        <v>46218.86976851852</v>
      </c>
      <c r="D32" s="52" t="n">
        <v>46218.96217592592</v>
      </c>
      <c r="E32" s="34" t="n">
        <v>0.09240740740740741</v>
      </c>
      <c r="F32" s="34" t="n">
        <v>0.08717592592592592</v>
      </c>
      <c r="G32" s="10" t="inlineStr">
        <is>
          <t>Первый вход до начала смены</t>
        </is>
      </c>
    </row>
    <row r="33" ht="20" customHeight="1">
      <c r="A33" s="50" t="n">
        <v>32</v>
      </c>
      <c r="B33" s="10" t="inlineStr">
        <is>
          <t>15.07–16.07 ночная (ср–чт)</t>
        </is>
      </c>
      <c r="C33" s="52" t="n">
        <v>46218.97311342593</v>
      </c>
      <c r="D33" s="52" t="n">
        <v>46219.15068287037</v>
      </c>
      <c r="E33" s="34" t="n">
        <v>0.1775694444444444</v>
      </c>
      <c r="F33" s="34" t="n">
        <v>0.1775694444444444</v>
      </c>
      <c r="G33" s="10" t="inlineStr">
        <is>
          <t>Находился на рабочем месте</t>
        </is>
      </c>
    </row>
    <row r="34" ht="20" customHeight="1">
      <c r="A34" s="50" t="n">
        <v>33</v>
      </c>
      <c r="B34" s="10" t="inlineStr">
        <is>
          <t>15.07–16.07 ночная (ср–чт)</t>
        </is>
      </c>
      <c r="C34" s="52" t="n">
        <v>46219.15219907407</v>
      </c>
      <c r="D34" s="52" t="n">
        <v>46219.28538194444</v>
      </c>
      <c r="E34" s="34" t="n">
        <v>0.1331828703703704</v>
      </c>
      <c r="F34" s="34" t="n">
        <v>0.1331828703703704</v>
      </c>
      <c r="G34" s="10" t="inlineStr">
        <is>
          <t>Находился на рабочем месте</t>
        </is>
      </c>
    </row>
    <row r="35" ht="20" customHeight="1">
      <c r="A35" s="50" t="n">
        <v>34</v>
      </c>
      <c r="B35" s="10" t="inlineStr">
        <is>
          <t>15.07–16.07 ночная (ср–чт)</t>
        </is>
      </c>
      <c r="C35" s="52" t="n">
        <v>46219.29726851852</v>
      </c>
      <c r="D35" s="59" t="n">
        <v>46219.3703125</v>
      </c>
      <c r="E35" s="34" t="n">
        <v>0.07304398148148149</v>
      </c>
      <c r="F35" s="34" t="n">
        <v>0.07304398148148149</v>
      </c>
      <c r="G35" s="79" t="inlineStr">
        <is>
          <t>Последний выход — ранний уход</t>
        </is>
      </c>
    </row>
    <row r="36" ht="20" customHeight="1">
      <c r="A36" s="50" t="n">
        <v>35</v>
      </c>
      <c r="B36" s="10" t="inlineStr">
        <is>
          <t>16.07–17.07 ночная (чт–пт)</t>
        </is>
      </c>
      <c r="C36" s="62" t="n">
        <v>46220.01476851852</v>
      </c>
      <c r="D36" s="52" t="n">
        <v>46220.25148148148</v>
      </c>
      <c r="E36" s="34" t="n">
        <v>0.236712962962963</v>
      </c>
      <c r="F36" s="34" t="n">
        <v>0.236712962962963</v>
      </c>
      <c r="G36" s="82" t="inlineStr">
        <is>
          <t>Первый вход — опоздание</t>
        </is>
      </c>
    </row>
    <row r="37" ht="20" customHeight="1">
      <c r="A37" s="50" t="n">
        <v>36</v>
      </c>
      <c r="B37" s="10" t="inlineStr">
        <is>
          <t>16.07–17.07 ночная (чт–пт)</t>
        </is>
      </c>
      <c r="C37" s="52" t="n">
        <v>46220.26344907407</v>
      </c>
      <c r="D37" s="52" t="n">
        <v>46220.38033564815</v>
      </c>
      <c r="E37" s="34" t="n">
        <v>0.1168865740740741</v>
      </c>
      <c r="F37" s="34" t="n">
        <v>0.1115509259259259</v>
      </c>
      <c r="G37" s="10" t="inlineStr">
        <is>
          <t>Последний выход после конца смены</t>
        </is>
      </c>
    </row>
    <row r="38" ht="20" customHeight="1">
      <c r="A38" s="50" t="n">
        <v>37</v>
      </c>
      <c r="B38" s="10" t="inlineStr">
        <is>
          <t>19.07 дневная (вс)</t>
        </is>
      </c>
      <c r="C38" s="52" t="n">
        <v>46222.36753472222</v>
      </c>
      <c r="D38" s="52" t="n">
        <v>46222.56079861111</v>
      </c>
      <c r="E38" s="34" t="n">
        <v>0.1932638888888889</v>
      </c>
      <c r="F38" s="34" t="n">
        <v>0.1857986111111111</v>
      </c>
      <c r="G38" s="10" t="inlineStr">
        <is>
          <t>Первый вход до начала смены</t>
        </is>
      </c>
    </row>
    <row r="39" ht="20" customHeight="1">
      <c r="A39" s="50" t="n">
        <v>38</v>
      </c>
      <c r="B39" s="10" t="inlineStr">
        <is>
          <t>19.07 дневная (вс)</t>
        </is>
      </c>
      <c r="C39" s="52" t="n">
        <v>46222.57641203704</v>
      </c>
      <c r="D39" s="52" t="n">
        <v>46222.7505787037</v>
      </c>
      <c r="E39" s="34" t="n">
        <v>0.1741666666666667</v>
      </c>
      <c r="F39" s="34" t="n">
        <v>0.1741666666666667</v>
      </c>
      <c r="G39" s="10" t="inlineStr">
        <is>
          <t>Находился на рабочем месте</t>
        </is>
      </c>
    </row>
    <row r="40" ht="20" customHeight="1">
      <c r="A40" s="50" t="n">
        <v>39</v>
      </c>
      <c r="B40" s="10" t="inlineStr">
        <is>
          <t>19.07 дневная (вс)</t>
        </is>
      </c>
      <c r="C40" s="52" t="n">
        <v>46222.75982638889</v>
      </c>
      <c r="D40" s="59" t="n">
        <v>46222.8703125</v>
      </c>
      <c r="E40" s="34" t="n">
        <v>0.1104861111111111</v>
      </c>
      <c r="F40" s="34" t="n">
        <v>0.1104861111111111</v>
      </c>
      <c r="G40" s="79" t="inlineStr">
        <is>
          <t>Последний выход — ранний уход</t>
        </is>
      </c>
    </row>
    <row r="41" ht="20" customHeight="1">
      <c r="A41" s="50" t="n">
        <v>40</v>
      </c>
      <c r="B41" s="10" t="inlineStr">
        <is>
          <t>20.07 дневная (пн)</t>
        </is>
      </c>
      <c r="C41" s="52" t="n">
        <v>46223.36982638889</v>
      </c>
      <c r="D41" s="52" t="n">
        <v>46223.43667824074</v>
      </c>
      <c r="E41" s="34" t="n">
        <v>0.06685185185185186</v>
      </c>
      <c r="F41" s="34" t="n">
        <v>0.06167824074074074</v>
      </c>
      <c r="G41" s="10" t="inlineStr">
        <is>
          <t>Первый вход до начала смены</t>
        </is>
      </c>
    </row>
    <row r="42" ht="20" customHeight="1">
      <c r="A42" s="50" t="n">
        <v>41</v>
      </c>
      <c r="B42" s="10" t="inlineStr">
        <is>
          <t>20.07 дневная (пн)</t>
        </is>
      </c>
      <c r="C42" s="52" t="n">
        <v>46223.43739583333</v>
      </c>
      <c r="D42" s="52" t="n">
        <v>46223.55101851852</v>
      </c>
      <c r="E42" s="34" t="n">
        <v>0.1136226851851852</v>
      </c>
      <c r="F42" s="34" t="n">
        <v>0.1136226851851852</v>
      </c>
      <c r="G42" s="10" t="inlineStr">
        <is>
          <t>Находился на рабочем месте</t>
        </is>
      </c>
    </row>
    <row r="43" ht="20" customHeight="1">
      <c r="A43" s="50" t="n">
        <v>42</v>
      </c>
      <c r="B43" s="10" t="inlineStr">
        <is>
          <t>20.07 дневная (пн)</t>
        </is>
      </c>
      <c r="C43" s="52" t="n">
        <v>46223.56460648148</v>
      </c>
      <c r="D43" s="52" t="n">
        <v>46223.72384259259</v>
      </c>
      <c r="E43" s="34" t="n">
        <v>0.1592361111111111</v>
      </c>
      <c r="F43" s="34" t="n">
        <v>0.1592361111111111</v>
      </c>
      <c r="G43" s="10" t="inlineStr">
        <is>
          <t>Находился на рабочем месте</t>
        </is>
      </c>
    </row>
    <row r="44" ht="20" customHeight="1">
      <c r="A44" s="50" t="n">
        <v>43</v>
      </c>
      <c r="B44" s="10" t="inlineStr">
        <is>
          <t>20.07 дневная (пн)</t>
        </is>
      </c>
      <c r="C44" s="52" t="n">
        <v>46223.73261574074</v>
      </c>
      <c r="D44" s="52" t="n">
        <v>46223.73289351852</v>
      </c>
      <c r="E44" s="34" t="n">
        <v>0.0002777777777777778</v>
      </c>
      <c r="F44" s="34" t="n">
        <v>0.0002777777777777778</v>
      </c>
      <c r="G44" s="10" t="inlineStr">
        <is>
          <t>Находился на рабочем месте</t>
        </is>
      </c>
    </row>
    <row r="45" ht="20" customHeight="1">
      <c r="A45" s="50" t="n">
        <v>44</v>
      </c>
      <c r="B45" s="10" t="inlineStr">
        <is>
          <t>20.07 дневная (пн)</t>
        </is>
      </c>
      <c r="C45" s="52" t="n">
        <v>46223.7415625</v>
      </c>
      <c r="D45" s="52" t="n">
        <v>46223.83262731481</v>
      </c>
      <c r="E45" s="34" t="n">
        <v>0.09106481481481482</v>
      </c>
      <c r="F45" s="34" t="n">
        <v>0.09106481481481482</v>
      </c>
      <c r="G45" s="10" t="inlineStr">
        <is>
          <t>Находился на рабочем месте</t>
        </is>
      </c>
    </row>
    <row r="46" ht="20" customHeight="1">
      <c r="A46" s="50" t="n">
        <v>45</v>
      </c>
      <c r="B46" s="10" t="inlineStr">
        <is>
          <t>20.07 дневная (пн)</t>
        </is>
      </c>
      <c r="C46" s="52" t="n">
        <v>46223.84592592593</v>
      </c>
      <c r="D46" s="52" t="n">
        <v>46223.87871527778</v>
      </c>
      <c r="E46" s="34" t="n">
        <v>0.03278935185185185</v>
      </c>
      <c r="F46" s="34" t="n">
        <v>0.02907407407407408</v>
      </c>
      <c r="G46" s="10" t="inlineStr">
        <is>
          <t>Последний выход после конца смены</t>
        </is>
      </c>
    </row>
    <row r="47" ht="20" customHeight="1">
      <c r="A47" s="50" t="n">
        <v>46</v>
      </c>
      <c r="B47" s="10" t="inlineStr">
        <is>
          <t>21.07–22.07 ночная (вт–ср)</t>
        </is>
      </c>
      <c r="C47" s="62" t="n">
        <v>46224.8759375</v>
      </c>
      <c r="D47" s="52" t="n">
        <v>46224.98168981481</v>
      </c>
      <c r="E47" s="34" t="n">
        <v>0.1057523148148148</v>
      </c>
      <c r="F47" s="34" t="n">
        <v>0.1057523148148148</v>
      </c>
      <c r="G47" s="82" t="inlineStr">
        <is>
          <t>Первый вход — опоздание</t>
        </is>
      </c>
    </row>
    <row r="48" ht="20" customHeight="1">
      <c r="A48" s="50" t="n">
        <v>47</v>
      </c>
      <c r="B48" s="10" t="inlineStr">
        <is>
          <t>21.07–22.07 ночная (вт–ср)</t>
        </is>
      </c>
      <c r="C48" s="52" t="n">
        <v>46225.01297453704</v>
      </c>
      <c r="D48" s="52" t="n">
        <v>46225.05451388889</v>
      </c>
      <c r="E48" s="34" t="n">
        <v>0.04153935185185186</v>
      </c>
      <c r="F48" s="34" t="n">
        <v>0.04153935185185186</v>
      </c>
      <c r="G48" s="10" t="inlineStr">
        <is>
          <t>Находился на рабочем месте</t>
        </is>
      </c>
    </row>
    <row r="49" ht="20" customHeight="1">
      <c r="A49" s="50" t="n">
        <v>48</v>
      </c>
      <c r="B49" s="10" t="inlineStr">
        <is>
          <t>21.07–22.07 ночная (вт–ср)</t>
        </is>
      </c>
      <c r="C49" s="52" t="n">
        <v>46225.05534722222</v>
      </c>
      <c r="D49" s="52" t="n">
        <v>46225.21377314815</v>
      </c>
      <c r="E49" s="34" t="n">
        <v>0.1584259259259259</v>
      </c>
      <c r="F49" s="34" t="n">
        <v>0.1584259259259259</v>
      </c>
      <c r="G49" s="10" t="inlineStr">
        <is>
          <t>Находился на рабочем месте</t>
        </is>
      </c>
    </row>
    <row r="50" ht="20" customHeight="1">
      <c r="A50" s="50" t="n">
        <v>49</v>
      </c>
      <c r="B50" s="10" t="inlineStr">
        <is>
          <t>21.07–22.07 ночная (вт–ср)</t>
        </is>
      </c>
      <c r="C50" s="52" t="n">
        <v>46225.22439814815</v>
      </c>
      <c r="D50" s="52" t="n">
        <v>46225.38234953704</v>
      </c>
      <c r="E50" s="34" t="n">
        <v>0.1579513888888889</v>
      </c>
      <c r="F50" s="34" t="n">
        <v>0.1506018518518518</v>
      </c>
      <c r="G50" s="10" t="inlineStr">
        <is>
          <t>Последний выход после конца смены</t>
        </is>
      </c>
    </row>
    <row r="51" ht="20" customHeight="1">
      <c r="A51" s="50" t="n">
        <v>50</v>
      </c>
      <c r="B51" s="10" t="inlineStr">
        <is>
          <t>22.07–23.07 ночная (ср–чт)</t>
        </is>
      </c>
      <c r="C51" s="52" t="n">
        <v>46225.87144675926</v>
      </c>
      <c r="D51" s="52" t="n">
        <v>46226.02863425926</v>
      </c>
      <c r="E51" s="34" t="n">
        <v>0.1571875</v>
      </c>
      <c r="F51" s="34" t="n">
        <v>0.1536342592592592</v>
      </c>
      <c r="G51" s="10" t="inlineStr">
        <is>
          <t>Первый вход до начала смены</t>
        </is>
      </c>
    </row>
    <row r="52" ht="20" customHeight="1">
      <c r="A52" s="50" t="n">
        <v>51</v>
      </c>
      <c r="B52" s="10" t="inlineStr">
        <is>
          <t>22.07–23.07 ночная (ср–чт)</t>
        </is>
      </c>
      <c r="C52" s="52" t="n">
        <v>46226.04447916667</v>
      </c>
      <c r="D52" s="52" t="n">
        <v>46226.23349537037</v>
      </c>
      <c r="E52" s="34" t="n">
        <v>0.1890162037037037</v>
      </c>
      <c r="F52" s="34" t="n">
        <v>0.1890162037037037</v>
      </c>
      <c r="G52" s="10" t="inlineStr">
        <is>
          <t>Находился на рабочем месте</t>
        </is>
      </c>
    </row>
    <row r="53" ht="20" customHeight="1">
      <c r="A53" s="50" t="n">
        <v>52</v>
      </c>
      <c r="B53" s="10" t="inlineStr">
        <is>
          <t>22.07–23.07 ночная (ср–чт)</t>
        </is>
      </c>
      <c r="C53" s="52" t="n">
        <v>46226.24597222222</v>
      </c>
      <c r="D53" s="52" t="n">
        <v>46226.24636574074</v>
      </c>
      <c r="E53" s="34" t="n">
        <v>0.0003935185185185185</v>
      </c>
      <c r="F53" s="34" t="n">
        <v>0.0003935185185185185</v>
      </c>
      <c r="G53" s="10" t="inlineStr">
        <is>
          <t>Находился на рабочем месте</t>
        </is>
      </c>
    </row>
    <row r="54" ht="20" customHeight="1">
      <c r="A54" s="50" t="n">
        <v>53</v>
      </c>
      <c r="B54" s="10" t="inlineStr">
        <is>
          <t>22.07–23.07 ночная (ср–чт)</t>
        </is>
      </c>
      <c r="C54" s="52" t="n">
        <v>46226.2540625</v>
      </c>
      <c r="D54" s="52" t="n">
        <v>46226.37755787037</v>
      </c>
      <c r="E54" s="34" t="n">
        <v>0.1234953703703704</v>
      </c>
      <c r="F54" s="34" t="n">
        <v>0.1209375</v>
      </c>
      <c r="G54" s="10" t="inlineStr">
        <is>
          <t>Последний выход после конца смены</t>
        </is>
      </c>
    </row>
    <row r="55" ht="20" customHeight="1">
      <c r="A55" s="50" t="n">
        <v>54</v>
      </c>
      <c r="B55" s="10" t="inlineStr">
        <is>
          <t>23.07–24.07 ночная (чт–пт)</t>
        </is>
      </c>
      <c r="C55" s="52" t="n">
        <v>46226.87185185185</v>
      </c>
      <c r="D55" s="52" t="n">
        <v>46226.9690625</v>
      </c>
      <c r="E55" s="34" t="n">
        <v>0.09721064814814814</v>
      </c>
      <c r="F55" s="34" t="n">
        <v>0.09406249999999999</v>
      </c>
      <c r="G55" s="10" t="inlineStr">
        <is>
          <t>Первый вход до начала смены</t>
        </is>
      </c>
    </row>
    <row r="56" ht="20" customHeight="1">
      <c r="A56" s="50" t="n">
        <v>55</v>
      </c>
      <c r="B56" s="10" t="inlineStr">
        <is>
          <t>23.07–24.07 ночная (чт–пт)</t>
        </is>
      </c>
      <c r="C56" s="52" t="n">
        <v>46226.97085648148</v>
      </c>
      <c r="D56" s="52" t="n">
        <v>46226.97112268519</v>
      </c>
      <c r="E56" s="34" t="n">
        <v>0.0002662037037037037</v>
      </c>
      <c r="F56" s="34" t="n">
        <v>0.0002662037037037037</v>
      </c>
      <c r="G56" s="10" t="inlineStr">
        <is>
          <t>Находился на рабочем месте</t>
        </is>
      </c>
    </row>
    <row r="57" ht="20" customHeight="1">
      <c r="A57" s="50" t="n">
        <v>56</v>
      </c>
      <c r="B57" s="10" t="inlineStr">
        <is>
          <t>23.07–24.07 ночная (чт–пт)</t>
        </is>
      </c>
      <c r="C57" s="52" t="n">
        <v>46226.97293981481</v>
      </c>
      <c r="D57" s="52" t="n">
        <v>46227.04200231482</v>
      </c>
      <c r="E57" s="34" t="n">
        <v>0.0690625</v>
      </c>
      <c r="F57" s="34" t="n">
        <v>0.0690625</v>
      </c>
      <c r="G57" s="10" t="inlineStr">
        <is>
          <t>Находился на рабочем месте</t>
        </is>
      </c>
    </row>
    <row r="58" ht="20" customHeight="1">
      <c r="A58" s="50" t="n">
        <v>57</v>
      </c>
      <c r="B58" s="10" t="inlineStr">
        <is>
          <t>23.07–24.07 ночная (чт–пт)</t>
        </is>
      </c>
      <c r="C58" s="52" t="n">
        <v>46227.06246527778</v>
      </c>
      <c r="D58" s="52" t="n">
        <v>46227.38483796296</v>
      </c>
      <c r="E58" s="34" t="n">
        <v>0.3223726851851852</v>
      </c>
      <c r="F58" s="34" t="n">
        <v>0.3125347222222222</v>
      </c>
      <c r="G58" s="10" t="inlineStr">
        <is>
          <t>Последний выход после конца смены</t>
        </is>
      </c>
    </row>
    <row r="59" ht="20" customHeight="1">
      <c r="A59" s="50" t="n">
        <v>58</v>
      </c>
      <c r="B59" s="10" t="inlineStr">
        <is>
          <t>25.07 дневная (сб)</t>
        </is>
      </c>
      <c r="C59" s="52" t="n">
        <v>46228.36758101852</v>
      </c>
      <c r="D59" s="52" t="n">
        <v>46228.56979166667</v>
      </c>
      <c r="E59" s="34" t="n">
        <v>0.2022106481481482</v>
      </c>
      <c r="F59" s="34" t="n">
        <v>0.1947916666666667</v>
      </c>
      <c r="G59" s="10" t="inlineStr">
        <is>
          <t>Первый вход до начала смены</t>
        </is>
      </c>
    </row>
    <row r="60" ht="20" customHeight="1">
      <c r="A60" s="50" t="n">
        <v>59</v>
      </c>
      <c r="B60" s="10" t="inlineStr">
        <is>
          <t>25.07 дневная (сб)</t>
        </is>
      </c>
      <c r="C60" s="52" t="n">
        <v>46228.58478009259</v>
      </c>
      <c r="D60" s="52" t="n">
        <v>46228.78200231482</v>
      </c>
      <c r="E60" s="34" t="n">
        <v>0.1972222222222222</v>
      </c>
      <c r="F60" s="34" t="n">
        <v>0.1972222222222222</v>
      </c>
      <c r="G60" s="10" t="inlineStr">
        <is>
          <t>Находился на рабочем месте</t>
        </is>
      </c>
    </row>
    <row r="61" ht="20" customHeight="1">
      <c r="A61" s="50" t="n">
        <v>60</v>
      </c>
      <c r="B61" s="10" t="inlineStr">
        <is>
          <t>25.07 дневная (сб)</t>
        </is>
      </c>
      <c r="C61" s="52" t="n">
        <v>46228.79471064815</v>
      </c>
      <c r="D61" s="52" t="n">
        <v>46228.87503472222</v>
      </c>
      <c r="E61" s="34" t="n">
        <v>0.08032407407407408</v>
      </c>
      <c r="F61" s="34" t="n">
        <v>0.08028935185185185</v>
      </c>
      <c r="G61" s="10" t="inlineStr">
        <is>
          <t>Последний выход после конца смены</t>
        </is>
      </c>
    </row>
    <row r="62" ht="20" customHeight="1">
      <c r="A62" s="50" t="n">
        <v>61</v>
      </c>
      <c r="B62" s="10" t="inlineStr">
        <is>
          <t>27.07 дневная (пн)</t>
        </is>
      </c>
      <c r="C62" s="52" t="n">
        <v>46230.36726851852</v>
      </c>
      <c r="D62" s="52" t="n">
        <v>46230.50409722222</v>
      </c>
      <c r="E62" s="34" t="n">
        <v>0.1368287037037037</v>
      </c>
      <c r="F62" s="34" t="n">
        <v>0.1290972222222222</v>
      </c>
      <c r="G62" s="10" t="inlineStr">
        <is>
          <t>Первый вход до начала смены</t>
        </is>
      </c>
    </row>
    <row r="63" ht="20" customHeight="1">
      <c r="A63" s="50" t="n">
        <v>62</v>
      </c>
      <c r="B63" s="10" t="inlineStr">
        <is>
          <t>27.07 дневная (пн)</t>
        </is>
      </c>
      <c r="C63" s="52" t="n">
        <v>46230.51755787037</v>
      </c>
      <c r="D63" s="52" t="n">
        <v>46230.53768518518</v>
      </c>
      <c r="E63" s="34" t="n">
        <v>0.02012731481481481</v>
      </c>
      <c r="F63" s="34" t="n">
        <v>0.02012731481481481</v>
      </c>
      <c r="G63" s="10" t="inlineStr">
        <is>
          <t>Находился на рабочем месте</t>
        </is>
      </c>
    </row>
    <row r="64" ht="20" customHeight="1">
      <c r="A64" s="50" t="n">
        <v>63</v>
      </c>
      <c r="B64" s="10" t="inlineStr">
        <is>
          <t>27.07 дневная (пн)</t>
        </is>
      </c>
      <c r="C64" s="52" t="n">
        <v>46230.53854166667</v>
      </c>
      <c r="D64" s="52" t="n">
        <v>46230.63532407407</v>
      </c>
      <c r="E64" s="34" t="n">
        <v>0.09678240740740741</v>
      </c>
      <c r="F64" s="34" t="n">
        <v>0.09678240740740741</v>
      </c>
      <c r="G64" s="10" t="inlineStr">
        <is>
          <t>Находился на рабочем месте</t>
        </is>
      </c>
    </row>
    <row r="65" ht="20" customHeight="1">
      <c r="A65" s="50" t="n">
        <v>64</v>
      </c>
      <c r="B65" s="10" t="inlineStr">
        <is>
          <t>27.07 дневная (пн)</t>
        </is>
      </c>
      <c r="C65" s="52" t="n">
        <v>46230.64179398148</v>
      </c>
      <c r="D65" s="52" t="n">
        <v>46230.64287037037</v>
      </c>
      <c r="E65" s="34" t="n">
        <v>0.001076388888888889</v>
      </c>
      <c r="F65" s="34" t="n">
        <v>0.001076388888888889</v>
      </c>
      <c r="G65" s="10" t="inlineStr">
        <is>
          <t>Находился на рабочем месте</t>
        </is>
      </c>
    </row>
    <row r="66" ht="20" customHeight="1">
      <c r="A66" s="50" t="n">
        <v>65</v>
      </c>
      <c r="B66" s="10" t="inlineStr">
        <is>
          <t>27.07 дневная (пн)</t>
        </is>
      </c>
      <c r="C66" s="52" t="n">
        <v>46230.65177083333</v>
      </c>
      <c r="D66" s="52" t="n">
        <v>46230.83621527778</v>
      </c>
      <c r="E66" s="34" t="n">
        <v>0.1844444444444444</v>
      </c>
      <c r="F66" s="34" t="n">
        <v>0.1844444444444444</v>
      </c>
      <c r="G66" s="10" t="inlineStr">
        <is>
          <t>Находился на рабочем месте</t>
        </is>
      </c>
    </row>
    <row r="67" ht="20" customHeight="1">
      <c r="A67" s="50" t="n">
        <v>66</v>
      </c>
      <c r="B67" s="10" t="inlineStr">
        <is>
          <t>27.07 дневная (пн)</t>
        </is>
      </c>
      <c r="C67" s="52" t="n">
        <v>46230.84503472222</v>
      </c>
      <c r="D67" s="59" t="n">
        <v>46230.87012731482</v>
      </c>
      <c r="E67" s="34" t="n">
        <v>0.02509259259259259</v>
      </c>
      <c r="F67" s="34" t="n">
        <v>0.02509259259259259</v>
      </c>
      <c r="G67" s="79" t="inlineStr">
        <is>
          <t>Последний выход — ранний уход</t>
        </is>
      </c>
    </row>
    <row r="68" ht="20" customHeight="1">
      <c r="A68" s="50" t="n">
        <v>67</v>
      </c>
      <c r="B68" s="10" t="inlineStr">
        <is>
          <t>28.07 дневная (вт)</t>
        </is>
      </c>
      <c r="C68" s="52" t="n">
        <v>46231.36740740741</v>
      </c>
      <c r="D68" s="52" t="n">
        <v>46231.41738425926</v>
      </c>
      <c r="E68" s="34" t="n">
        <v>0.04997685185185185</v>
      </c>
      <c r="F68" s="34" t="n">
        <v>0.04238425925925926</v>
      </c>
      <c r="G68" s="10" t="inlineStr">
        <is>
          <t>Первый вход до начала смены</t>
        </is>
      </c>
    </row>
    <row r="69" ht="20" customHeight="1">
      <c r="A69" s="50" t="n">
        <v>68</v>
      </c>
      <c r="B69" s="10" t="inlineStr">
        <is>
          <t>28.07 дневная (вт)</t>
        </is>
      </c>
      <c r="C69" s="52" t="n">
        <v>46231.41833333333</v>
      </c>
      <c r="D69" s="52" t="n">
        <v>46231.50877314815</v>
      </c>
      <c r="E69" s="34" t="n">
        <v>0.09043981481481482</v>
      </c>
      <c r="F69" s="34" t="n">
        <v>0.09043981481481482</v>
      </c>
      <c r="G69" s="10" t="inlineStr">
        <is>
          <t>Находился на рабочем месте</t>
        </is>
      </c>
    </row>
    <row r="70" ht="20" customHeight="1">
      <c r="A70" s="50" t="n">
        <v>69</v>
      </c>
      <c r="B70" s="10" t="inlineStr">
        <is>
          <t>28.07 дневная (вт)</t>
        </is>
      </c>
      <c r="C70" s="52" t="n">
        <v>46231.52509259259</v>
      </c>
      <c r="D70" s="52" t="n">
        <v>46231.65043981482</v>
      </c>
      <c r="E70" s="34" t="n">
        <v>0.1253472222222222</v>
      </c>
      <c r="F70" s="34" t="n">
        <v>0.1253472222222222</v>
      </c>
      <c r="G70" s="10" t="inlineStr">
        <is>
          <t>Находился на рабочем месте</t>
        </is>
      </c>
    </row>
    <row r="71" ht="20" customHeight="1">
      <c r="A71" s="50" t="n">
        <v>70</v>
      </c>
      <c r="B71" s="10" t="inlineStr">
        <is>
          <t>28.07 дневная (вт)</t>
        </is>
      </c>
      <c r="C71" s="52" t="n">
        <v>46231.65149305556</v>
      </c>
      <c r="D71" s="52" t="n">
        <v>46231.78623842593</v>
      </c>
      <c r="E71" s="34" t="n">
        <v>0.1347453703703704</v>
      </c>
      <c r="F71" s="34" t="n">
        <v>0.1347453703703704</v>
      </c>
      <c r="G71" s="10" t="inlineStr">
        <is>
          <t>Находился на рабочем месте</t>
        </is>
      </c>
    </row>
    <row r="72" ht="20" customHeight="1">
      <c r="A72" s="50" t="n">
        <v>71</v>
      </c>
      <c r="B72" s="10" t="inlineStr">
        <is>
          <t>28.07 дневная (вт)</t>
        </is>
      </c>
      <c r="C72" s="52" t="n">
        <v>46231.79909722223</v>
      </c>
      <c r="D72" s="75" t="n">
        <v>46231.87456018518</v>
      </c>
      <c r="E72" s="34" t="n">
        <v>0.07546296296296297</v>
      </c>
      <c r="F72" s="34" t="n">
        <v>0.07546296296296297</v>
      </c>
      <c r="G72" s="38" t="inlineStr">
        <is>
          <t>Последний выход меньше чем на минуту раньше конца смены</t>
        </is>
      </c>
    </row>
    <row r="73" ht="20" customHeight="1">
      <c r="A73" s="50" t="n">
        <v>72</v>
      </c>
      <c r="B73" s="10" t="inlineStr">
        <is>
          <t>29.07–30.07 ночная (ср–чт)</t>
        </is>
      </c>
      <c r="C73" s="52" t="n">
        <v>46232.86263888889</v>
      </c>
      <c r="D73" s="52" t="n">
        <v>46233.04100694445</v>
      </c>
      <c r="E73" s="34" t="n">
        <v>0.1783680555555555</v>
      </c>
      <c r="F73" s="34" t="n">
        <v>0.1660069444444444</v>
      </c>
      <c r="G73" s="10" t="inlineStr">
        <is>
          <t>Первый вход до начала смены</t>
        </is>
      </c>
    </row>
    <row r="74" ht="20" customHeight="1">
      <c r="A74" s="50" t="n">
        <v>73</v>
      </c>
      <c r="B74" s="10" t="inlineStr">
        <is>
          <t>29.07–30.07 ночная (ср–чт)</t>
        </is>
      </c>
      <c r="C74" s="52" t="n">
        <v>46233.07568287037</v>
      </c>
      <c r="D74" s="52" t="n">
        <v>46233.19704861111</v>
      </c>
      <c r="E74" s="34" t="n">
        <v>0.1213657407407407</v>
      </c>
      <c r="F74" s="34" t="n">
        <v>0.1213657407407407</v>
      </c>
      <c r="G74" s="10" t="inlineStr">
        <is>
          <t>Находился на рабочем месте</t>
        </is>
      </c>
    </row>
    <row r="75" ht="20" customHeight="1">
      <c r="A75" s="50" t="n">
        <v>74</v>
      </c>
      <c r="B75" s="10" t="inlineStr">
        <is>
          <t>29.07–30.07 ночная (ср–чт)</t>
        </is>
      </c>
      <c r="C75" s="52" t="n">
        <v>46233.19876157407</v>
      </c>
      <c r="D75" s="52" t="n">
        <v>46233.37594907408</v>
      </c>
      <c r="E75" s="34" t="n">
        <v>0.1771875</v>
      </c>
      <c r="F75" s="34" t="n">
        <v>0.1762384259259259</v>
      </c>
      <c r="G75" s="10" t="inlineStr">
        <is>
          <t>Последний выход после конца смены</t>
        </is>
      </c>
    </row>
    <row r="76" ht="20" customHeight="1">
      <c r="A76" s="50" t="n">
        <v>75</v>
      </c>
      <c r="B76" s="10" t="inlineStr">
        <is>
          <t>30.07–31.07 ночная (чт–пт)</t>
        </is>
      </c>
      <c r="C76" s="52" t="n">
        <v>46233.86853009259</v>
      </c>
      <c r="D76" s="52" t="n">
        <v>46234.04280092593</v>
      </c>
      <c r="E76" s="34" t="n">
        <v>0.1742708333333333</v>
      </c>
      <c r="F76" s="34" t="n">
        <v>0.1678009259259259</v>
      </c>
      <c r="G76" s="10" t="inlineStr">
        <is>
          <t>Первый вход до начала смены</t>
        </is>
      </c>
    </row>
    <row r="77" ht="20" customHeight="1">
      <c r="A77" s="50" t="n">
        <v>76</v>
      </c>
      <c r="B77" s="10" t="inlineStr">
        <is>
          <t>30.07–31.07 ночная (чт–пт)</t>
        </is>
      </c>
      <c r="C77" s="52" t="n">
        <v>46234.06965277778</v>
      </c>
      <c r="D77" s="52" t="n">
        <v>46234.27196759259</v>
      </c>
      <c r="E77" s="34" t="n">
        <v>0.2023148148148148</v>
      </c>
      <c r="F77" s="34" t="n">
        <v>0.2023148148148148</v>
      </c>
      <c r="G77" s="10" t="inlineStr">
        <is>
          <t>Находился на рабочем месте</t>
        </is>
      </c>
    </row>
    <row r="78" ht="20" customHeight="1">
      <c r="A78" s="50" t="n">
        <v>77</v>
      </c>
      <c r="B78" s="10" t="inlineStr">
        <is>
          <t>30.07–31.07 ночная (чт–пт)</t>
        </is>
      </c>
      <c r="C78" s="52" t="n">
        <v>46234.29797453704</v>
      </c>
      <c r="D78" s="59" t="n">
        <v>46234.3690162037</v>
      </c>
      <c r="E78" s="34" t="n">
        <v>0.07104166666666667</v>
      </c>
      <c r="F78" s="34" t="n">
        <v>0.07104166666666667</v>
      </c>
      <c r="G78" s="79" t="inlineStr">
        <is>
          <t>Последний выход — ранний уход</t>
        </is>
      </c>
    </row>
    <row r="79" ht="20" customHeight="1">
      <c r="A79" s="50" t="n">
        <v>78</v>
      </c>
      <c r="B79" s="10" t="inlineStr">
        <is>
          <t>31.07–01.08 ночная (пт–сб)</t>
        </is>
      </c>
      <c r="C79" s="52" t="n">
        <v>46234.87231481481</v>
      </c>
      <c r="D79" s="52" t="n">
        <v>46234.97548611111</v>
      </c>
      <c r="E79" s="34" t="n">
        <v>0.1031712962962963</v>
      </c>
      <c r="F79" s="34" t="n">
        <v>0.1004861111111111</v>
      </c>
      <c r="G79" s="10" t="inlineStr">
        <is>
          <t>Первый вход до начала смены</t>
        </is>
      </c>
    </row>
    <row r="80" ht="20" customHeight="1">
      <c r="A80" s="50" t="n">
        <v>79</v>
      </c>
      <c r="B80" s="10" t="inlineStr">
        <is>
          <t>31.07–01.08 ночная (пт–сб)</t>
        </is>
      </c>
      <c r="C80" s="52" t="n">
        <v>46234.98836805556</v>
      </c>
      <c r="D80" s="52" t="n">
        <v>46235.06190972222</v>
      </c>
      <c r="E80" s="34" t="n">
        <v>0.07354166666666667</v>
      </c>
      <c r="F80" s="34" t="n">
        <v>0.07354166666666667</v>
      </c>
      <c r="G80" s="10" t="inlineStr">
        <is>
          <t>Находился на рабочем месте</t>
        </is>
      </c>
    </row>
    <row r="81" ht="20" customHeight="1">
      <c r="A81" s="50" t="n">
        <v>80</v>
      </c>
      <c r="B81" s="10" t="inlineStr">
        <is>
          <t>31.07–01.08 ночная (пт–сб)</t>
        </is>
      </c>
      <c r="C81" s="52" t="n">
        <v>46235.09224537037</v>
      </c>
      <c r="D81" s="52" t="n">
        <v>46235.26265046297</v>
      </c>
      <c r="E81" s="34" t="n">
        <v>0.1704050925925926</v>
      </c>
      <c r="F81" s="34" t="n">
        <v>0.1704050925925926</v>
      </c>
      <c r="G81" s="10" t="inlineStr">
        <is>
          <t>Находился на рабочем месте</t>
        </is>
      </c>
    </row>
    <row r="82" ht="20" customHeight="1">
      <c r="A82" s="50" t="n">
        <v>81</v>
      </c>
      <c r="B82" s="10" t="inlineStr">
        <is>
          <t>31.07–01.08 ночная (пт–сб)</t>
        </is>
      </c>
      <c r="C82" s="52" t="n">
        <v>46235.27194444444</v>
      </c>
      <c r="D82" s="59" t="n">
        <v>46235.36846064815</v>
      </c>
      <c r="E82" s="34" t="n">
        <v>0.0965162037037037</v>
      </c>
      <c r="F82" s="34" t="n">
        <v>0.0965162037037037</v>
      </c>
      <c r="G82" s="79" t="inlineStr">
        <is>
          <t>Последний выход — ранний уход</t>
        </is>
      </c>
    </row>
    <row r="83" ht="20" customHeight="1">
      <c r="A83" s="50" t="n">
        <v>82</v>
      </c>
      <c r="B83" s="10" t="inlineStr">
        <is>
          <t>20.08 дневная (чт)</t>
        </is>
      </c>
      <c r="C83" s="52" t="n">
        <v>46254.36984953703</v>
      </c>
      <c r="D83" s="52" t="n">
        <v>46254.4609837963</v>
      </c>
      <c r="E83" s="34" t="n">
        <v>0.09113425925925926</v>
      </c>
      <c r="F83" s="34" t="n">
        <v>0.08598379629629629</v>
      </c>
      <c r="G83" s="10" t="inlineStr">
        <is>
          <t>Первый вход до начала смены</t>
        </is>
      </c>
    </row>
    <row r="84" ht="20" customHeight="1">
      <c r="A84" s="50" t="n">
        <v>83</v>
      </c>
      <c r="B84" s="10" t="inlineStr">
        <is>
          <t>20.08 дневная (чт)</t>
        </is>
      </c>
      <c r="C84" s="52" t="n">
        <v>46254.50539351852</v>
      </c>
      <c r="D84" s="52" t="n">
        <v>46254.65322916667</v>
      </c>
      <c r="E84" s="34" t="n">
        <v>0.1478356481481481</v>
      </c>
      <c r="F84" s="34" t="n">
        <v>0.1478356481481481</v>
      </c>
      <c r="G84" s="10" t="inlineStr">
        <is>
          <t>Находился на рабочем месте</t>
        </is>
      </c>
    </row>
    <row r="85" ht="20" customHeight="1">
      <c r="A85" s="50" t="n">
        <v>84</v>
      </c>
      <c r="B85" s="10" t="inlineStr">
        <is>
          <t>20.08 дневная (чт)</t>
        </is>
      </c>
      <c r="C85" s="52" t="n">
        <v>46254.65697916667</v>
      </c>
      <c r="D85" s="52" t="n">
        <v>46254.78253472222</v>
      </c>
      <c r="E85" s="34" t="n">
        <v>0.1255555555555556</v>
      </c>
      <c r="F85" s="34" t="n">
        <v>0.1255555555555556</v>
      </c>
      <c r="G85" s="10" t="inlineStr">
        <is>
          <t>Находился на рабочем месте</t>
        </is>
      </c>
    </row>
    <row r="86" ht="20" customHeight="1">
      <c r="A86" s="50" t="n">
        <v>85</v>
      </c>
      <c r="B86" s="10" t="inlineStr">
        <is>
          <t>20.08 дневная (чт)</t>
        </is>
      </c>
      <c r="C86" s="52" t="n">
        <v>46254.79684027778</v>
      </c>
      <c r="D86" s="59" t="n">
        <v>46254.86581018518</v>
      </c>
      <c r="E86" s="34" t="n">
        <v>0.06896990740740741</v>
      </c>
      <c r="F86" s="34" t="n">
        <v>0.06896990740740741</v>
      </c>
      <c r="G86" s="79" t="inlineStr">
        <is>
          <t>Последний выход — ранний уход</t>
        </is>
      </c>
    </row>
    <row r="87" ht="20" customHeight="1">
      <c r="A87" s="50" t="n">
        <v>86</v>
      </c>
      <c r="B87" s="10" t="inlineStr">
        <is>
          <t>21.08 дневная (пт)</t>
        </is>
      </c>
      <c r="C87" s="52" t="n">
        <v>46255.36524305555</v>
      </c>
      <c r="D87" s="52" t="n">
        <v>46255.47534722222</v>
      </c>
      <c r="E87" s="34" t="n">
        <v>0.1101041666666667</v>
      </c>
      <c r="F87" s="34" t="n">
        <v>0.1003472222222222</v>
      </c>
      <c r="G87" s="10" t="inlineStr">
        <is>
          <t>Первый вход до начала смены</t>
        </is>
      </c>
    </row>
    <row r="88" ht="20" customHeight="1">
      <c r="A88" s="50" t="n">
        <v>87</v>
      </c>
      <c r="B88" s="10" t="inlineStr">
        <is>
          <t>21.08 дневная (пт)</t>
        </is>
      </c>
      <c r="C88" s="52" t="n">
        <v>46255.51167824074</v>
      </c>
      <c r="D88" s="52" t="n">
        <v>46255.68358796297</v>
      </c>
      <c r="E88" s="34" t="n">
        <v>0.1719097222222222</v>
      </c>
      <c r="F88" s="34" t="n">
        <v>0.1719097222222222</v>
      </c>
      <c r="G88" s="10" t="inlineStr">
        <is>
          <t>Находился на рабочем месте</t>
        </is>
      </c>
    </row>
    <row r="89" ht="20" customHeight="1">
      <c r="A89" s="50" t="n">
        <v>88</v>
      </c>
      <c r="B89" s="10" t="inlineStr">
        <is>
          <t>21.08 дневная (пт)</t>
        </is>
      </c>
      <c r="C89" s="52" t="n">
        <v>46255.68672453704</v>
      </c>
      <c r="D89" s="52" t="n">
        <v>46255.79756944445</v>
      </c>
      <c r="E89" s="34" t="n">
        <v>0.1108449074074074</v>
      </c>
      <c r="F89" s="34" t="n">
        <v>0.1108449074074074</v>
      </c>
      <c r="G89" s="10" t="inlineStr">
        <is>
          <t>Находился на рабочем месте</t>
        </is>
      </c>
    </row>
    <row r="90" ht="20" customHeight="1">
      <c r="A90" s="50" t="n">
        <v>89</v>
      </c>
      <c r="B90" s="10" t="inlineStr">
        <is>
          <t>21.08 дневная (пт)</t>
        </is>
      </c>
      <c r="C90" s="52" t="n">
        <v>46255.8249537037</v>
      </c>
      <c r="D90" s="59" t="n">
        <v>46255.87177083334</v>
      </c>
      <c r="E90" s="34" t="n">
        <v>0.04681712962962963</v>
      </c>
      <c r="F90" s="34" t="n">
        <v>0.04681712962962963</v>
      </c>
      <c r="G90" s="79" t="inlineStr">
        <is>
          <t>Последний выход — ранний уход</t>
        </is>
      </c>
    </row>
    <row r="91" ht="20" customHeight="1">
      <c r="A91" s="50" t="n">
        <v>90</v>
      </c>
      <c r="B91" s="10" t="inlineStr">
        <is>
          <t>23.08–24.08 ночная (вс–пн)</t>
        </is>
      </c>
      <c r="C91" s="52" t="n">
        <v>46257.86759259259</v>
      </c>
      <c r="D91" s="52" t="n">
        <v>46258.070625</v>
      </c>
      <c r="E91" s="34" t="n">
        <v>0.2030324074074074</v>
      </c>
      <c r="F91" s="34" t="n">
        <v>0.195625</v>
      </c>
      <c r="G91" s="10" t="inlineStr">
        <is>
          <t>Первый вход до начала смены</t>
        </is>
      </c>
    </row>
    <row r="92" ht="20" customHeight="1">
      <c r="A92" s="50" t="n">
        <v>91</v>
      </c>
      <c r="B92" s="10" t="inlineStr">
        <is>
          <t>23.08–24.08 ночная (вс–пн)</t>
        </is>
      </c>
      <c r="C92" s="52" t="n">
        <v>46258.10587962963</v>
      </c>
      <c r="D92" s="52" t="n">
        <v>46258.27674768519</v>
      </c>
      <c r="E92" s="34" t="n">
        <v>0.1708680555555556</v>
      </c>
      <c r="F92" s="34" t="n">
        <v>0.1708680555555556</v>
      </c>
      <c r="G92" s="10" t="inlineStr">
        <is>
          <t>Находился на рабочем месте</t>
        </is>
      </c>
    </row>
    <row r="93" ht="20" customHeight="1">
      <c r="A93" s="50" t="n">
        <v>92</v>
      </c>
      <c r="B93" s="10" t="inlineStr">
        <is>
          <t>23.08–24.08 ночная (вс–пн)</t>
        </is>
      </c>
      <c r="C93" s="52" t="n">
        <v>46258.30232638889</v>
      </c>
      <c r="D93" s="59" t="n">
        <v>46258.36784722222</v>
      </c>
      <c r="E93" s="34" t="n">
        <v>0.06552083333333333</v>
      </c>
      <c r="F93" s="34" t="n">
        <v>0.06552083333333333</v>
      </c>
      <c r="G93" s="79" t="inlineStr">
        <is>
          <t>Последний выход — ранний уход</t>
        </is>
      </c>
    </row>
    <row r="94" ht="20" customHeight="1">
      <c r="A94" s="50" t="n">
        <v>93</v>
      </c>
      <c r="B94" s="10" t="inlineStr">
        <is>
          <t>24.08–25.08 ночная (пн–вт)</t>
        </is>
      </c>
      <c r="C94" s="52" t="n">
        <v>46258.86881944445</v>
      </c>
      <c r="D94" s="52" t="n">
        <v>46258.93454861111</v>
      </c>
      <c r="E94" s="34" t="n">
        <v>0.06572916666666667</v>
      </c>
      <c r="F94" s="34" t="n">
        <v>0.05954861111111111</v>
      </c>
      <c r="G94" s="10" t="inlineStr">
        <is>
          <t>Первый вход до начала смены</t>
        </is>
      </c>
    </row>
    <row r="95" ht="20" customHeight="1">
      <c r="A95" s="50" t="n">
        <v>94</v>
      </c>
      <c r="B95" s="10" t="inlineStr">
        <is>
          <t>24.08–25.08 ночная (пн–вт)</t>
        </is>
      </c>
      <c r="C95" s="52" t="n">
        <v>46258.93540509259</v>
      </c>
      <c r="D95" s="52" t="n">
        <v>46258.96771990741</v>
      </c>
      <c r="E95" s="34" t="n">
        <v>0.03231481481481482</v>
      </c>
      <c r="F95" s="34" t="n">
        <v>0.03231481481481482</v>
      </c>
      <c r="G95" s="10" t="inlineStr">
        <is>
          <t>Находился на рабочем месте</t>
        </is>
      </c>
    </row>
    <row r="96" ht="20" customHeight="1">
      <c r="A96" s="50" t="n">
        <v>95</v>
      </c>
      <c r="B96" s="10" t="inlineStr">
        <is>
          <t>24.08–25.08 ночная (пн–вт)</t>
        </is>
      </c>
      <c r="C96" s="52" t="n">
        <v>46258.97905092593</v>
      </c>
      <c r="D96" s="52" t="n">
        <v>46259.12914351852</v>
      </c>
      <c r="E96" s="34" t="n">
        <v>0.1500925925925926</v>
      </c>
      <c r="F96" s="34" t="n">
        <v>0.1500925925925926</v>
      </c>
      <c r="G96" s="10" t="inlineStr">
        <is>
          <t>Находился на рабочем месте</t>
        </is>
      </c>
    </row>
    <row r="97" ht="20" customHeight="1">
      <c r="A97" s="50" t="n">
        <v>96</v>
      </c>
      <c r="B97" s="10" t="inlineStr">
        <is>
          <t>24.08–25.08 ночная (пн–вт)</t>
        </is>
      </c>
      <c r="C97" s="52" t="n">
        <v>46259.14243055556</v>
      </c>
      <c r="D97" s="52" t="n">
        <v>46259.24743055556</v>
      </c>
      <c r="E97" s="34" t="n">
        <v>0.105</v>
      </c>
      <c r="F97" s="34" t="n">
        <v>0.105</v>
      </c>
      <c r="G97" s="10" t="inlineStr">
        <is>
          <t>Находился на рабочем месте</t>
        </is>
      </c>
    </row>
    <row r="98" ht="20" customHeight="1">
      <c r="A98" s="50" t="n">
        <v>97</v>
      </c>
      <c r="B98" s="10" t="inlineStr">
        <is>
          <t>24.08–25.08 ночная (пн–вт)</t>
        </is>
      </c>
      <c r="C98" s="52" t="n">
        <v>46259.259375</v>
      </c>
      <c r="D98" s="59" t="n">
        <v>46259.37048611111</v>
      </c>
      <c r="E98" s="34" t="n">
        <v>0.1111111111111111</v>
      </c>
      <c r="F98" s="34" t="n">
        <v>0.1111111111111111</v>
      </c>
      <c r="G98" s="79" t="inlineStr">
        <is>
          <t>Последний выход — ранний уход</t>
        </is>
      </c>
    </row>
    <row r="99" ht="20" customHeight="1">
      <c r="A99" s="50" t="n">
        <v>98</v>
      </c>
      <c r="B99" s="10" t="inlineStr">
        <is>
          <t>28.08 дневная (пт)</t>
        </is>
      </c>
      <c r="C99" s="52" t="n">
        <v>46262.36670138889</v>
      </c>
      <c r="D99" s="52" t="n">
        <v>46262.50293981482</v>
      </c>
      <c r="E99" s="34" t="n">
        <v>0.1362384259259259</v>
      </c>
      <c r="F99" s="34" t="n">
        <v>0.1279398148148148</v>
      </c>
      <c r="G99" s="10" t="inlineStr">
        <is>
          <t>Первый вход до начала смены</t>
        </is>
      </c>
    </row>
    <row r="100" ht="20" customHeight="1">
      <c r="A100" s="50" t="n">
        <v>99</v>
      </c>
      <c r="B100" s="10" t="inlineStr">
        <is>
          <t>28.08 дневная (пт)</t>
        </is>
      </c>
      <c r="C100" s="52" t="n">
        <v>46262.53938657408</v>
      </c>
      <c r="D100" s="52" t="n">
        <v>46262.6228587963</v>
      </c>
      <c r="E100" s="34" t="n">
        <v>0.08347222222222223</v>
      </c>
      <c r="F100" s="34" t="n">
        <v>0.08347222222222223</v>
      </c>
      <c r="G100" s="10" t="inlineStr">
        <is>
          <t>Находился на рабочем месте</t>
        </is>
      </c>
    </row>
    <row r="101" ht="20" customHeight="1">
      <c r="A101" s="50" t="n">
        <v>100</v>
      </c>
      <c r="B101" s="10" t="inlineStr">
        <is>
          <t>28.08 дневная (пт)</t>
        </is>
      </c>
      <c r="C101" s="52" t="n">
        <v>46262.62465277778</v>
      </c>
      <c r="D101" s="52" t="n">
        <v>46262.78126157408</v>
      </c>
      <c r="E101" s="34" t="n">
        <v>0.1566087962962963</v>
      </c>
      <c r="F101" s="34" t="n">
        <v>0.1566087962962963</v>
      </c>
      <c r="G101" s="10" t="inlineStr">
        <is>
          <t>Находился на рабочем месте</t>
        </is>
      </c>
    </row>
    <row r="102" ht="20" customHeight="1">
      <c r="A102" s="50" t="n">
        <v>101</v>
      </c>
      <c r="B102" s="10" t="inlineStr">
        <is>
          <t>28.08 дневная (пт)</t>
        </is>
      </c>
      <c r="C102" s="52" t="n">
        <v>46262.79130787037</v>
      </c>
      <c r="D102" s="59" t="n">
        <v>46262.87347222222</v>
      </c>
      <c r="E102" s="34" t="n">
        <v>0.08216435185185185</v>
      </c>
      <c r="F102" s="34" t="n">
        <v>0.08216435185185185</v>
      </c>
      <c r="G102" s="79" t="inlineStr">
        <is>
          <t>Последний выход — ранний уход</t>
        </is>
      </c>
    </row>
    <row r="103" ht="20" customHeight="1">
      <c r="A103" s="50" t="n">
        <v>102</v>
      </c>
      <c r="B103" s="10" t="inlineStr">
        <is>
          <t>29.08 дневная (сб)</t>
        </is>
      </c>
      <c r="C103" s="52" t="n">
        <v>46263.3646875</v>
      </c>
      <c r="D103" s="52" t="n">
        <v>46263.49519675926</v>
      </c>
      <c r="E103" s="34" t="n">
        <v>0.1305092592592593</v>
      </c>
      <c r="F103" s="34" t="n">
        <v>0.1201967592592593</v>
      </c>
      <c r="G103" s="10" t="inlineStr">
        <is>
          <t>Первый вход до начала смены</t>
        </is>
      </c>
    </row>
    <row r="104" ht="20" customHeight="1">
      <c r="A104" s="50" t="n">
        <v>103</v>
      </c>
      <c r="B104" s="10" t="inlineStr">
        <is>
          <t>29.08 дневная (сб)</t>
        </is>
      </c>
      <c r="C104" s="52" t="n">
        <v>46263.51474537037</v>
      </c>
      <c r="D104" s="52" t="n">
        <v>46263.5949537037</v>
      </c>
      <c r="E104" s="34" t="n">
        <v>0.08020833333333334</v>
      </c>
      <c r="F104" s="34" t="n">
        <v>0.08020833333333334</v>
      </c>
      <c r="G104" s="10" t="inlineStr">
        <is>
          <t>Находился на рабочем месте</t>
        </is>
      </c>
    </row>
    <row r="105" ht="20" customHeight="1">
      <c r="A105" s="50" t="n">
        <v>104</v>
      </c>
      <c r="B105" s="10" t="inlineStr">
        <is>
          <t>29.08 дневная (сб)</t>
        </is>
      </c>
      <c r="C105" s="52" t="n">
        <v>46263.59582175926</v>
      </c>
      <c r="D105" s="52" t="n">
        <v>46263.65344907407</v>
      </c>
      <c r="E105" s="34" t="n">
        <v>0.05762731481481481</v>
      </c>
      <c r="F105" s="34" t="n">
        <v>0.05762731481481481</v>
      </c>
      <c r="G105" s="10" t="inlineStr">
        <is>
          <t>Находился на рабочем месте</t>
        </is>
      </c>
    </row>
    <row r="106" ht="20" customHeight="1">
      <c r="A106" s="50" t="n">
        <v>105</v>
      </c>
      <c r="B106" s="10" t="inlineStr">
        <is>
          <t>29.08 дневная (сб)</t>
        </is>
      </c>
      <c r="C106" s="52" t="n">
        <v>46263.65730324074</v>
      </c>
      <c r="D106" s="59" t="n">
        <v>46263.86400462963</v>
      </c>
      <c r="E106" s="34" t="n">
        <v>0.2067013888888889</v>
      </c>
      <c r="F106" s="34" t="n">
        <v>0.2067013888888889</v>
      </c>
      <c r="G106" s="79" t="inlineStr">
        <is>
          <t>Последний выход — ранний уход</t>
        </is>
      </c>
    </row>
    <row r="107" ht="20" customHeight="1">
      <c r="A107" s="50" t="n">
        <v>106</v>
      </c>
      <c r="B107" s="10" t="inlineStr">
        <is>
          <t>30.08–31.08 ночная (вс–пн)</t>
        </is>
      </c>
      <c r="C107" s="52" t="n">
        <v>46264.87263888889</v>
      </c>
      <c r="D107" s="52" t="n">
        <v>46264.96887731482</v>
      </c>
      <c r="E107" s="34" t="n">
        <v>0.09623842592592592</v>
      </c>
      <c r="F107" s="34" t="n">
        <v>0.09387731481481482</v>
      </c>
      <c r="G107" s="10" t="inlineStr">
        <is>
          <t>Первый вход до начала смены</t>
        </is>
      </c>
    </row>
    <row r="108" ht="20" customHeight="1">
      <c r="A108" s="50" t="n">
        <v>107</v>
      </c>
      <c r="B108" s="10" t="inlineStr">
        <is>
          <t>30.08–31.08 ночная (вс–пн)</t>
        </is>
      </c>
      <c r="C108" s="52" t="n">
        <v>46264.97851851852</v>
      </c>
      <c r="D108" s="52" t="n">
        <v>46265.1340625</v>
      </c>
      <c r="E108" s="34" t="n">
        <v>0.1555439814814815</v>
      </c>
      <c r="F108" s="34" t="n">
        <v>0.1555439814814815</v>
      </c>
      <c r="G108" s="10" t="inlineStr">
        <is>
          <t>Находился на рабочем месте</t>
        </is>
      </c>
    </row>
    <row r="109" ht="20" customHeight="1">
      <c r="A109" s="50" t="n">
        <v>108</v>
      </c>
      <c r="B109" s="10" t="inlineStr">
        <is>
          <t>30.08–31.08 ночная (вс–пн)</t>
        </is>
      </c>
      <c r="C109" s="52" t="n">
        <v>46265.13560185185</v>
      </c>
      <c r="D109" s="52" t="n">
        <v>46265.23033564815</v>
      </c>
      <c r="E109" s="34" t="n">
        <v>0.0947337962962963</v>
      </c>
      <c r="F109" s="34" t="n">
        <v>0.0947337962962963</v>
      </c>
      <c r="G109" s="10" t="inlineStr">
        <is>
          <t>Находился на рабочем месте</t>
        </is>
      </c>
    </row>
    <row r="110" ht="20" customHeight="1">
      <c r="A110" s="50" t="n">
        <v>109</v>
      </c>
      <c r="B110" s="10" t="inlineStr">
        <is>
          <t>30.08–31.08 ночная (вс–пн)</t>
        </is>
      </c>
      <c r="C110" s="52" t="n">
        <v>46265.24939814815</v>
      </c>
      <c r="D110" s="59" t="n">
        <v>46265.36237268519</v>
      </c>
      <c r="E110" s="34" t="n">
        <v>0.112974537037037</v>
      </c>
      <c r="F110" s="34" t="n">
        <v>0.112974537037037</v>
      </c>
      <c r="G110" s="79" t="inlineStr">
        <is>
          <t>Последний выход — ранний уход</t>
        </is>
      </c>
    </row>
    <row r="111" ht="20" customHeight="1">
      <c r="A111" s="50" t="n">
        <v>110</v>
      </c>
      <c r="B111" s="10" t="inlineStr">
        <is>
          <t>31.08–01.09 ночная (пн–вт)</t>
        </is>
      </c>
      <c r="C111" s="52" t="n">
        <v>46265.87070601852</v>
      </c>
      <c r="D111" s="52" t="n">
        <v>46265.94534722222</v>
      </c>
      <c r="E111" s="34" t="n">
        <v>0.07464120370370371</v>
      </c>
      <c r="F111" s="34" t="n">
        <v>0.07034722222222223</v>
      </c>
      <c r="G111" s="10" t="inlineStr">
        <is>
          <t>Первый вход до начала смены</t>
        </is>
      </c>
    </row>
    <row r="112" ht="20" customHeight="1">
      <c r="A112" s="50" t="n">
        <v>111</v>
      </c>
      <c r="B112" s="10" t="inlineStr">
        <is>
          <t>31.08–01.09 ночная (пн–вт)</t>
        </is>
      </c>
      <c r="C112" s="52" t="n">
        <v>46265.95636574074</v>
      </c>
      <c r="D112" s="52" t="n">
        <v>46265.98650462963</v>
      </c>
      <c r="E112" s="34" t="n">
        <v>0.03013888888888889</v>
      </c>
      <c r="F112" s="34" t="n">
        <v>0.03013888888888889</v>
      </c>
      <c r="G112" s="10" t="inlineStr">
        <is>
          <t>После этого снова вошёл в чистую зону, выход в журнал не попал</t>
        </is>
      </c>
    </row>
    <row r="114">
      <c r="B114" s="83" t="inlineStr">
        <is>
          <t>Итого время на рабочем месте</t>
        </is>
      </c>
      <c r="D114" s="85" t="inlineStr">
        <is>
          <t>Сумма</t>
        </is>
      </c>
      <c r="E114" s="84">
        <f>SUM(E2:E112)</f>
        <v/>
      </c>
      <c r="F114" s="84">
        <f>SUM(F2:F112)</f>
        <v/>
      </c>
    </row>
  </sheetData>
  <autoFilter ref="A1:G112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83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36" customWidth="1" min="5" max="5"/>
    <col width="68" customWidth="1" min="6" max="6"/>
  </cols>
  <sheetData>
    <row r="1" ht="24" customHeight="1">
      <c r="A1" s="70" t="inlineStr">
        <is>
          <t>№</t>
        </is>
      </c>
      <c r="B1" s="70" t="inlineStr">
        <is>
          <t>Дата и время</t>
        </is>
      </c>
      <c r="C1" s="70" t="inlineStr">
        <is>
          <t>Событие</t>
        </is>
      </c>
      <c r="D1" s="70" t="inlineStr">
        <is>
          <t>Источник</t>
        </is>
      </c>
      <c r="E1" s="70" t="inlineStr">
        <is>
          <t>Смена</t>
        </is>
      </c>
      <c r="F1" s="70" t="inlineStr">
        <is>
          <t>Метка</t>
        </is>
      </c>
    </row>
    <row r="2" ht="18" customHeight="1">
      <c r="A2" s="50" t="n">
        <v>1</v>
      </c>
      <c r="B2" s="52" t="n">
        <v>46204.09458333333</v>
      </c>
      <c r="C2" s="10" t="inlineStr">
        <is>
          <t>Нормальный выход по ключу</t>
        </is>
      </c>
      <c r="D2" s="10" t="inlineStr">
        <is>
          <t>Дверь в чистую зону</t>
        </is>
      </c>
      <c r="E2" s="10" t="inlineStr">
        <is>
          <t>30.06–01.07 ночная (вт–ср)</t>
        </is>
      </c>
      <c r="F2" s="10" t="inlineStr">
        <is>
          <t>Выход из чистой зоны (вход до него неизвестен)</t>
        </is>
      </c>
    </row>
    <row r="3" ht="18" customHeight="1">
      <c r="A3" s="50" t="n">
        <v>2</v>
      </c>
      <c r="B3" s="52" t="n">
        <v>46204.09622685185</v>
      </c>
      <c r="C3" s="10" t="inlineStr">
        <is>
          <t>Нормальный вход по ключу</t>
        </is>
      </c>
      <c r="D3" s="10" t="inlineStr">
        <is>
          <t>Дверь в чистую зону</t>
        </is>
      </c>
      <c r="E3" s="10" t="inlineStr">
        <is>
          <t>30.06–01.07 ночная (вт–ср)</t>
        </is>
      </c>
      <c r="F3" s="10" t="inlineStr">
        <is>
          <t>Приход на рабочее место</t>
        </is>
      </c>
    </row>
    <row r="4" ht="18" customHeight="1">
      <c r="A4" s="50" t="n">
        <v>3</v>
      </c>
      <c r="B4" s="52" t="n">
        <v>46204.2855324074</v>
      </c>
      <c r="C4" s="10" t="inlineStr">
        <is>
          <t>Нормальный выход по ключу</t>
        </is>
      </c>
      <c r="D4" s="10" t="inlineStr">
        <is>
          <t>Дверь в чистую зону</t>
        </is>
      </c>
      <c r="E4" s="10" t="inlineStr">
        <is>
          <t>30.06–01.07 ночная (вт–ср)</t>
        </is>
      </c>
      <c r="F4" s="10" t="inlineStr">
        <is>
          <t>Вышел с рабочего места</t>
        </is>
      </c>
    </row>
    <row r="5" ht="18" customHeight="1">
      <c r="A5" s="50" t="n">
        <v>4</v>
      </c>
      <c r="B5" s="52" t="n">
        <v>46204.29585648148</v>
      </c>
      <c r="C5" s="10" t="inlineStr">
        <is>
          <t>Нормальный вход по ключу</t>
        </is>
      </c>
      <c r="D5" s="10" t="inlineStr">
        <is>
          <t>Дверь в чистую зону</t>
        </is>
      </c>
      <c r="E5" s="10" t="inlineStr">
        <is>
          <t>30.06–01.07 ночная (вт–ср)</t>
        </is>
      </c>
      <c r="F5" s="10" t="inlineStr">
        <is>
          <t>Вернулся на рабочее место</t>
        </is>
      </c>
    </row>
    <row r="6" ht="18" customHeight="1">
      <c r="A6" s="50" t="n">
        <v>5</v>
      </c>
      <c r="B6" s="52" t="n">
        <v>46204.37451388889</v>
      </c>
      <c r="C6" s="10" t="inlineStr">
        <is>
          <t>Нормальный выход по ключу</t>
        </is>
      </c>
      <c r="D6" s="10" t="inlineStr">
        <is>
          <t>Дверь в чистую зону</t>
        </is>
      </c>
      <c r="E6" s="10" t="inlineStr">
        <is>
          <t>30.06–01.07 ночная (вт–ср)</t>
        </is>
      </c>
      <c r="F6" s="63" t="inlineStr">
        <is>
          <t>Уход менее чем на минуту раньше конца смены</t>
        </is>
      </c>
    </row>
    <row r="7" ht="18" customHeight="1">
      <c r="A7" s="50" t="n">
        <v>6</v>
      </c>
      <c r="B7" s="52" t="n">
        <v>46204.38677083333</v>
      </c>
      <c r="C7" s="10" t="inlineStr">
        <is>
          <t>Фактический выход</t>
        </is>
      </c>
      <c r="D7" s="86" t="inlineStr">
        <is>
          <t>Турникет на проходной</t>
        </is>
      </c>
      <c r="E7" s="10" t="inlineStr">
        <is>
          <t>30.06–01.07 ночная (вт–ср)</t>
        </is>
      </c>
      <c r="F7" s="10" t="inlineStr">
        <is>
          <t>Выход с территории</t>
        </is>
      </c>
    </row>
    <row r="8" ht="18" customHeight="1">
      <c r="A8" s="50" t="n">
        <v>7</v>
      </c>
      <c r="B8" s="52" t="n">
        <v>46206.35047453704</v>
      </c>
      <c r="C8" s="10" t="inlineStr">
        <is>
          <t>Фактический вход</t>
        </is>
      </c>
      <c r="D8" s="86" t="inlineStr">
        <is>
          <t>Турникет на проходной</t>
        </is>
      </c>
      <c r="E8" s="10" t="inlineStr">
        <is>
          <t>03.07 дневная (пт)</t>
        </is>
      </c>
      <c r="F8" s="10" t="inlineStr">
        <is>
          <t>Вход на территорию</t>
        </is>
      </c>
    </row>
    <row r="9" ht="18" customHeight="1">
      <c r="A9" s="50" t="n">
        <v>8</v>
      </c>
      <c r="B9" s="52" t="n">
        <v>46206.36483796296</v>
      </c>
      <c r="C9" s="10" t="inlineStr">
        <is>
          <t>Нормальный вход по ключу</t>
        </is>
      </c>
      <c r="D9" s="10" t="inlineStr">
        <is>
          <t>Дверь в чистую зону</t>
        </is>
      </c>
      <c r="E9" s="10" t="inlineStr">
        <is>
          <t>03.07 дневная (пт)</t>
        </is>
      </c>
      <c r="F9" s="10" t="inlineStr">
        <is>
          <t>Приход на рабочее место до начала смены</t>
        </is>
      </c>
    </row>
    <row r="10" ht="18" customHeight="1">
      <c r="A10" s="50" t="n">
        <v>9</v>
      </c>
      <c r="B10" s="52" t="n">
        <v>46206.45542824074</v>
      </c>
      <c r="C10" s="10" t="inlineStr">
        <is>
          <t>Нормальный выход по ключу</t>
        </is>
      </c>
      <c r="D10" s="10" t="inlineStr">
        <is>
          <t>Дверь в чистую зону</t>
        </is>
      </c>
      <c r="E10" s="10" t="inlineStr">
        <is>
          <t>03.07 дневная (пт)</t>
        </is>
      </c>
      <c r="F10" s="10" t="inlineStr">
        <is>
          <t>Вышел с рабочего места</t>
        </is>
      </c>
    </row>
    <row r="11" ht="18" customHeight="1">
      <c r="A11" s="50" t="n">
        <v>10</v>
      </c>
      <c r="B11" s="52" t="n">
        <v>46206.45638888889</v>
      </c>
      <c r="C11" s="10" t="inlineStr">
        <is>
          <t>Нормальный вход по ключу</t>
        </is>
      </c>
      <c r="D11" s="10" t="inlineStr">
        <is>
          <t>Дверь в чистую зону</t>
        </is>
      </c>
      <c r="E11" s="10" t="inlineStr">
        <is>
          <t>03.07 дневная (пт)</t>
        </is>
      </c>
      <c r="F11" s="10" t="inlineStr">
        <is>
          <t>Вернулся на рабочее место</t>
        </is>
      </c>
    </row>
    <row r="12" ht="18" customHeight="1">
      <c r="A12" s="50" t="n">
        <v>11</v>
      </c>
      <c r="B12" s="52" t="n">
        <v>46206.54399305556</v>
      </c>
      <c r="C12" s="10" t="inlineStr">
        <is>
          <t>Нормальный выход по ключу</t>
        </is>
      </c>
      <c r="D12" s="10" t="inlineStr">
        <is>
          <t>Дверь в чистую зону</t>
        </is>
      </c>
      <c r="E12" s="10" t="inlineStr">
        <is>
          <t>03.07 дневная (пт)</t>
        </is>
      </c>
      <c r="F12" s="10" t="inlineStr">
        <is>
          <t>Вышел с рабочего места</t>
        </is>
      </c>
    </row>
    <row r="13" ht="18" customHeight="1">
      <c r="A13" s="50" t="n">
        <v>12</v>
      </c>
      <c r="B13" s="52" t="n">
        <v>46206.55710648148</v>
      </c>
      <c r="C13" s="10" t="inlineStr">
        <is>
          <t>Нормальный вход по ключу</t>
        </is>
      </c>
      <c r="D13" s="10" t="inlineStr">
        <is>
          <t>Дверь в чистую зону</t>
        </is>
      </c>
      <c r="E13" s="10" t="inlineStr">
        <is>
          <t>03.07 дневная (пт)</t>
        </is>
      </c>
      <c r="F13" s="10" t="inlineStr">
        <is>
          <t>Вернулся на рабочее место</t>
        </is>
      </c>
    </row>
    <row r="14" ht="18" customHeight="1">
      <c r="A14" s="50" t="n">
        <v>13</v>
      </c>
      <c r="B14" s="52" t="n">
        <v>46206.69793981482</v>
      </c>
      <c r="C14" s="10" t="inlineStr">
        <is>
          <t>Нормальный выход по ключу</t>
        </is>
      </c>
      <c r="D14" s="10" t="inlineStr">
        <is>
          <t>Дверь в чистую зону</t>
        </is>
      </c>
      <c r="E14" s="10" t="inlineStr">
        <is>
          <t>03.07 дневная (пт)</t>
        </is>
      </c>
      <c r="F14" s="10" t="inlineStr">
        <is>
          <t>Вышел с рабочего места</t>
        </is>
      </c>
    </row>
    <row r="15" ht="18" customHeight="1">
      <c r="A15" s="50" t="n">
        <v>14</v>
      </c>
      <c r="B15" s="52" t="n">
        <v>46206.7000462963</v>
      </c>
      <c r="C15" s="10" t="inlineStr">
        <is>
          <t>Нормальный вход по ключу</t>
        </is>
      </c>
      <c r="D15" s="10" t="inlineStr">
        <is>
          <t>Дверь в чистую зону</t>
        </is>
      </c>
      <c r="E15" s="10" t="inlineStr">
        <is>
          <t>03.07 дневная (пт)</t>
        </is>
      </c>
      <c r="F15" s="10" t="inlineStr">
        <is>
          <t>Вернулся на рабочее место</t>
        </is>
      </c>
    </row>
    <row r="16" ht="18" customHeight="1">
      <c r="A16" s="35" t="n">
        <v>15</v>
      </c>
      <c r="B16" s="77" t="n">
        <v>46206.86743055555</v>
      </c>
      <c r="C16" s="20" t="inlineStr">
        <is>
          <t>Нормальный выход по ключу</t>
        </is>
      </c>
      <c r="D16" s="20" t="inlineStr">
        <is>
          <t>Дверь в чистую зону</t>
        </is>
      </c>
      <c r="E16" s="20" t="inlineStr">
        <is>
          <t>03.07 дневная (пт)</t>
        </is>
      </c>
      <c r="F16" s="79" t="inlineStr">
        <is>
          <t>Ранний уход с рабочего места</t>
        </is>
      </c>
    </row>
    <row r="17" ht="18" customHeight="1">
      <c r="A17" s="50" t="n">
        <v>16</v>
      </c>
      <c r="B17" s="52" t="n">
        <v>46206.88524305556</v>
      </c>
      <c r="C17" s="10" t="inlineStr">
        <is>
          <t>Фактический выход</t>
        </is>
      </c>
      <c r="D17" s="86" t="inlineStr">
        <is>
          <t>Турникет на проходной</t>
        </is>
      </c>
      <c r="E17" s="10" t="inlineStr">
        <is>
          <t>03.07 дневная (пт)</t>
        </is>
      </c>
      <c r="F17" s="10" t="inlineStr">
        <is>
          <t>Выход с территории</t>
        </is>
      </c>
    </row>
    <row r="18" ht="18" customHeight="1">
      <c r="A18" s="50" t="n">
        <v>17</v>
      </c>
      <c r="B18" s="52" t="n">
        <v>46207.35061342592</v>
      </c>
      <c r="C18" s="10" t="inlineStr">
        <is>
          <t>Фактический вход</t>
        </is>
      </c>
      <c r="D18" s="86" t="inlineStr">
        <is>
          <t>Турникет на проходной</t>
        </is>
      </c>
      <c r="E18" s="10" t="inlineStr">
        <is>
          <t>04.07 дневная (сб)</t>
        </is>
      </c>
      <c r="F18" s="10" t="inlineStr">
        <is>
          <t>Вход на территорию</t>
        </is>
      </c>
    </row>
    <row r="19" ht="18" customHeight="1">
      <c r="A19" s="50" t="n">
        <v>18</v>
      </c>
      <c r="B19" s="52" t="n">
        <v>46207.36597222222</v>
      </c>
      <c r="C19" s="10" t="inlineStr">
        <is>
          <t>Нормальный вход по ключу</t>
        </is>
      </c>
      <c r="D19" s="10" t="inlineStr">
        <is>
          <t>Дверь в чистую зону</t>
        </is>
      </c>
      <c r="E19" s="10" t="inlineStr">
        <is>
          <t>04.07 дневная (сб)</t>
        </is>
      </c>
      <c r="F19" s="10" t="inlineStr">
        <is>
          <t>Приход на рабочее место до начала смены</t>
        </is>
      </c>
    </row>
    <row r="20" ht="18" customHeight="1">
      <c r="A20" s="35" t="n">
        <v>19</v>
      </c>
      <c r="B20" s="77" t="n">
        <v>46207.45238425926</v>
      </c>
      <c r="C20" s="20" t="inlineStr">
        <is>
          <t>Нормальный выход по ключу</t>
        </is>
      </c>
      <c r="D20" s="20" t="inlineStr">
        <is>
          <t>Дверь в чистую зону</t>
        </is>
      </c>
      <c r="E20" s="20" t="inlineStr">
        <is>
          <t>04.07 дневная (сб)</t>
        </is>
      </c>
      <c r="F20" s="79" t="inlineStr">
        <is>
          <t>Ранний уход с рабочего места</t>
        </is>
      </c>
    </row>
    <row r="21" ht="18" customHeight="1">
      <c r="A21" s="50" t="n">
        <v>20</v>
      </c>
      <c r="B21" s="52" t="n">
        <v>46207.45820601852</v>
      </c>
      <c r="C21" s="10" t="inlineStr">
        <is>
          <t>Фактический выход</t>
        </is>
      </c>
      <c r="D21" s="86" t="inlineStr">
        <is>
          <t>Турникет на проходной</t>
        </is>
      </c>
      <c r="E21" s="10" t="inlineStr">
        <is>
          <t>04.07 дневная (сб)</t>
        </is>
      </c>
      <c r="F21" s="10" t="inlineStr">
        <is>
          <t>Выход с территории</t>
        </is>
      </c>
    </row>
    <row r="22" ht="18" customHeight="1">
      <c r="A22" s="50" t="n">
        <v>21</v>
      </c>
      <c r="B22" s="52" t="n">
        <v>46208.3524537037</v>
      </c>
      <c r="C22" s="10" t="inlineStr">
        <is>
          <t>Фактический вход</t>
        </is>
      </c>
      <c r="D22" s="86" t="inlineStr">
        <is>
          <t>Турникет на проходной</t>
        </is>
      </c>
      <c r="E22" s="10" t="inlineStr">
        <is>
          <t>05.07 дневная (вс)</t>
        </is>
      </c>
      <c r="F22" s="10" t="inlineStr">
        <is>
          <t>Вход на территорию</t>
        </is>
      </c>
    </row>
    <row r="23" ht="18" customHeight="1">
      <c r="A23" s="50" t="n">
        <v>22</v>
      </c>
      <c r="B23" s="52" t="n">
        <v>46208.3665625</v>
      </c>
      <c r="C23" s="10" t="inlineStr">
        <is>
          <t>Нормальный вход по ключу</t>
        </is>
      </c>
      <c r="D23" s="10" t="inlineStr">
        <is>
          <t>Дверь в чистую зону</t>
        </is>
      </c>
      <c r="E23" s="10" t="inlineStr">
        <is>
          <t>05.07 дневная (вс)</t>
        </is>
      </c>
      <c r="F23" s="10" t="inlineStr">
        <is>
          <t>Приход на рабочее место до начала смены</t>
        </is>
      </c>
    </row>
    <row r="24" ht="18" customHeight="1">
      <c r="A24" s="50" t="n">
        <v>23</v>
      </c>
      <c r="B24" s="52" t="n">
        <v>46208.55228009259</v>
      </c>
      <c r="C24" s="10" t="inlineStr">
        <is>
          <t>Нормальный выход по ключу</t>
        </is>
      </c>
      <c r="D24" s="10" t="inlineStr">
        <is>
          <t>Дверь в чистую зону</t>
        </is>
      </c>
      <c r="E24" s="10" t="inlineStr">
        <is>
          <t>05.07 дневная (вс)</t>
        </is>
      </c>
      <c r="F24" s="10" t="inlineStr">
        <is>
          <t>Вышел с рабочего места</t>
        </is>
      </c>
    </row>
    <row r="25" ht="18" customHeight="1">
      <c r="A25" s="50" t="n">
        <v>24</v>
      </c>
      <c r="B25" s="52" t="n">
        <v>46208.56621527778</v>
      </c>
      <c r="C25" s="10" t="inlineStr">
        <is>
          <t>Нормальный вход по ключу</t>
        </is>
      </c>
      <c r="D25" s="10" t="inlineStr">
        <is>
          <t>Дверь в чистую зону</t>
        </is>
      </c>
      <c r="E25" s="10" t="inlineStr">
        <is>
          <t>05.07 дневная (вс)</t>
        </is>
      </c>
      <c r="F25" s="10" t="inlineStr">
        <is>
          <t>Вернулся на рабочее место</t>
        </is>
      </c>
    </row>
    <row r="26" ht="18" customHeight="1">
      <c r="A26" s="50" t="n">
        <v>25</v>
      </c>
      <c r="B26" s="52" t="n">
        <v>46208.71152777778</v>
      </c>
      <c r="C26" s="10" t="inlineStr">
        <is>
          <t>Нормальный выход по ключу</t>
        </is>
      </c>
      <c r="D26" s="10" t="inlineStr">
        <is>
          <t>Дверь в чистую зону</t>
        </is>
      </c>
      <c r="E26" s="10" t="inlineStr">
        <is>
          <t>05.07 дневная (вс)</t>
        </is>
      </c>
      <c r="F26" s="10" t="inlineStr">
        <is>
          <t>Вышел с рабочего места</t>
        </is>
      </c>
    </row>
    <row r="27" ht="18" customHeight="1">
      <c r="A27" s="50" t="n">
        <v>26</v>
      </c>
      <c r="B27" s="52" t="n">
        <v>46208.71915509259</v>
      </c>
      <c r="C27" s="10" t="inlineStr">
        <is>
          <t>Нормальный вход по ключу</t>
        </is>
      </c>
      <c r="D27" s="10" t="inlineStr">
        <is>
          <t>Дверь в чистую зону</t>
        </is>
      </c>
      <c r="E27" s="10" t="inlineStr">
        <is>
          <t>05.07 дневная (вс)</t>
        </is>
      </c>
      <c r="F27" s="10" t="inlineStr">
        <is>
          <t>Вернулся на рабочее место</t>
        </is>
      </c>
    </row>
    <row r="28" ht="18" customHeight="1">
      <c r="A28" s="35" t="n">
        <v>27</v>
      </c>
      <c r="B28" s="77" t="n">
        <v>46208.86725694445</v>
      </c>
      <c r="C28" s="20" t="inlineStr">
        <is>
          <t>Нормальный выход по ключу</t>
        </is>
      </c>
      <c r="D28" s="20" t="inlineStr">
        <is>
          <t>Дверь в чистую зону</t>
        </is>
      </c>
      <c r="E28" s="20" t="inlineStr">
        <is>
          <t>05.07 дневная (вс)</t>
        </is>
      </c>
      <c r="F28" s="79" t="inlineStr">
        <is>
          <t>Ранний уход с рабочего места</t>
        </is>
      </c>
    </row>
    <row r="29" ht="18" customHeight="1">
      <c r="A29" s="50" t="n">
        <v>28</v>
      </c>
      <c r="B29" s="52" t="n">
        <v>46208.88388888889</v>
      </c>
      <c r="C29" s="10" t="inlineStr">
        <is>
          <t>Фактический выход</t>
        </is>
      </c>
      <c r="D29" s="86" t="inlineStr">
        <is>
          <t>Турникет на проходной</t>
        </is>
      </c>
      <c r="E29" s="10" t="inlineStr">
        <is>
          <t>05.07 дневная (вс)</t>
        </is>
      </c>
      <c r="F29" s="10" t="inlineStr">
        <is>
          <t>Выход с территории</t>
        </is>
      </c>
    </row>
    <row r="30" ht="18" customHeight="1">
      <c r="A30" s="50" t="n">
        <v>29</v>
      </c>
      <c r="B30" s="52" t="n">
        <v>46209.85164351852</v>
      </c>
      <c r="C30" s="10" t="inlineStr">
        <is>
          <t>Фактический вход</t>
        </is>
      </c>
      <c r="D30" s="86" t="inlineStr">
        <is>
          <t>Турникет на проходной</t>
        </is>
      </c>
      <c r="E30" s="10" t="inlineStr">
        <is>
          <t>06.07–07.07 ночная (пн–вт)</t>
        </is>
      </c>
      <c r="F30" s="10" t="inlineStr">
        <is>
          <t>Вход на территорию</t>
        </is>
      </c>
    </row>
    <row r="31" ht="18" customHeight="1">
      <c r="A31" s="50" t="n">
        <v>30</v>
      </c>
      <c r="B31" s="52" t="n">
        <v>46209.86171296296</v>
      </c>
      <c r="C31" s="10" t="inlineStr">
        <is>
          <t>Нормальный вход по ключу</t>
        </is>
      </c>
      <c r="D31" s="10" t="inlineStr">
        <is>
          <t>Дверь в чистую зону</t>
        </is>
      </c>
      <c r="E31" s="10" t="inlineStr">
        <is>
          <t>06.07–07.07 ночная (пн–вт)</t>
        </is>
      </c>
      <c r="F31" s="10" t="inlineStr">
        <is>
          <t>Приход на рабочее место до начала смены</t>
        </is>
      </c>
    </row>
    <row r="32" ht="18" customHeight="1">
      <c r="A32" s="50" t="n">
        <v>31</v>
      </c>
      <c r="B32" s="52" t="n">
        <v>46210.0312962963</v>
      </c>
      <c r="C32" s="10" t="inlineStr">
        <is>
          <t>Нормальный выход по ключу</t>
        </is>
      </c>
      <c r="D32" s="10" t="inlineStr">
        <is>
          <t>Дверь в чистую зону</t>
        </is>
      </c>
      <c r="E32" s="10" t="inlineStr">
        <is>
          <t>06.07–07.07 ночная (пн–вт)</t>
        </is>
      </c>
      <c r="F32" s="10" t="inlineStr">
        <is>
          <t>Вышел с рабочего места</t>
        </is>
      </c>
    </row>
    <row r="33" ht="18" customHeight="1">
      <c r="A33" s="50" t="n">
        <v>32</v>
      </c>
      <c r="B33" s="52" t="n">
        <v>46210.04856481482</v>
      </c>
      <c r="C33" s="10" t="inlineStr">
        <is>
          <t>Нормальный вход по ключу</t>
        </is>
      </c>
      <c r="D33" s="10" t="inlineStr">
        <is>
          <t>Дверь в чистую зону</t>
        </is>
      </c>
      <c r="E33" s="10" t="inlineStr">
        <is>
          <t>06.07–07.07 ночная (пн–вт)</t>
        </is>
      </c>
      <c r="F33" s="10" t="inlineStr">
        <is>
          <t>Вернулся на рабочее место</t>
        </is>
      </c>
    </row>
    <row r="34" ht="18" customHeight="1">
      <c r="A34" s="50" t="n">
        <v>33</v>
      </c>
      <c r="B34" s="52" t="n">
        <v>46210.2763425926</v>
      </c>
      <c r="C34" s="10" t="inlineStr">
        <is>
          <t>Нормальный выход по ключу</t>
        </is>
      </c>
      <c r="D34" s="10" t="inlineStr">
        <is>
          <t>Дверь в чистую зону</t>
        </is>
      </c>
      <c r="E34" s="10" t="inlineStr">
        <is>
          <t>06.07–07.07 ночная (пн–вт)</t>
        </is>
      </c>
      <c r="F34" s="10" t="inlineStr">
        <is>
          <t>Вышел с рабочего места</t>
        </is>
      </c>
    </row>
    <row r="35" ht="18" customHeight="1">
      <c r="A35" s="50" t="n">
        <v>34</v>
      </c>
      <c r="B35" s="52" t="n">
        <v>46210.2846875</v>
      </c>
      <c r="C35" s="10" t="inlineStr">
        <is>
          <t>Нормальный вход по ключу</t>
        </is>
      </c>
      <c r="D35" s="10" t="inlineStr">
        <is>
          <t>Дверь в чистую зону</t>
        </is>
      </c>
      <c r="E35" s="10" t="inlineStr">
        <is>
          <t>06.07–07.07 ночная (пн–вт)</t>
        </is>
      </c>
      <c r="F35" s="10" t="inlineStr">
        <is>
          <t>Вернулся на рабочее место</t>
        </is>
      </c>
    </row>
    <row r="36" ht="18" customHeight="1">
      <c r="A36" s="50" t="n">
        <v>35</v>
      </c>
      <c r="B36" s="52" t="n">
        <v>46210.37637731482</v>
      </c>
      <c r="C36" s="10" t="inlineStr">
        <is>
          <t>Нормальный выход по ключу</t>
        </is>
      </c>
      <c r="D36" s="10" t="inlineStr">
        <is>
          <t>Дверь в чистую зону</t>
        </is>
      </c>
      <c r="E36" s="10" t="inlineStr">
        <is>
          <t>06.07–07.07 ночная (пн–вт)</t>
        </is>
      </c>
      <c r="F36" s="10" t="inlineStr">
        <is>
          <t>Уход с рабочего места после конца смены</t>
        </is>
      </c>
    </row>
    <row r="37" ht="18" customHeight="1">
      <c r="A37" s="50" t="n">
        <v>36</v>
      </c>
      <c r="B37" s="52" t="n">
        <v>46210.38591435185</v>
      </c>
      <c r="C37" s="10" t="inlineStr">
        <is>
          <t>Фактический выход</t>
        </is>
      </c>
      <c r="D37" s="86" t="inlineStr">
        <is>
          <t>Турникет на проходной</t>
        </is>
      </c>
      <c r="E37" s="10" t="inlineStr">
        <is>
          <t>06.07–07.07 ночная (пн–вт)</t>
        </is>
      </c>
      <c r="F37" s="10" t="inlineStr">
        <is>
          <t>Выход с территории</t>
        </is>
      </c>
    </row>
    <row r="38" ht="18" customHeight="1">
      <c r="A38" s="50" t="n">
        <v>37</v>
      </c>
      <c r="B38" s="52" t="n">
        <v>46210.85078703704</v>
      </c>
      <c r="C38" s="10" t="inlineStr">
        <is>
          <t>Фактический вход</t>
        </is>
      </c>
      <c r="D38" s="86" t="inlineStr">
        <is>
          <t>Турникет на проходной</t>
        </is>
      </c>
      <c r="E38" s="10" t="inlineStr">
        <is>
          <t>07.07–08.07 ночная (вт–ср)</t>
        </is>
      </c>
      <c r="F38" s="10" t="inlineStr">
        <is>
          <t>Вход на территорию</t>
        </is>
      </c>
    </row>
    <row r="39" ht="18" customHeight="1">
      <c r="A39" s="50" t="n">
        <v>38</v>
      </c>
      <c r="B39" s="52" t="n">
        <v>46210.86542824074</v>
      </c>
      <c r="C39" s="10" t="inlineStr">
        <is>
          <t>Нормальный вход по ключу</t>
        </is>
      </c>
      <c r="D39" s="10" t="inlineStr">
        <is>
          <t>Дверь в чистую зону</t>
        </is>
      </c>
      <c r="E39" s="10" t="inlineStr">
        <is>
          <t>07.07–08.07 ночная (вт–ср)</t>
        </is>
      </c>
      <c r="F39" s="10" t="inlineStr">
        <is>
          <t>Приход на рабочее место до начала смены</t>
        </is>
      </c>
    </row>
    <row r="40" ht="18" customHeight="1">
      <c r="A40" s="50" t="n">
        <v>39</v>
      </c>
      <c r="B40" s="52" t="n">
        <v>46211.00703703704</v>
      </c>
      <c r="C40" s="10" t="inlineStr">
        <is>
          <t>Нормальный выход по ключу</t>
        </is>
      </c>
      <c r="D40" s="10" t="inlineStr">
        <is>
          <t>Дверь в чистую зону</t>
        </is>
      </c>
      <c r="E40" s="10" t="inlineStr">
        <is>
          <t>07.07–08.07 ночная (вт–ср)</t>
        </is>
      </c>
      <c r="F40" s="10" t="inlineStr">
        <is>
          <t>Вышел с рабочего места</t>
        </is>
      </c>
    </row>
    <row r="41" ht="18" customHeight="1">
      <c r="A41" s="50" t="n">
        <v>40</v>
      </c>
      <c r="B41" s="52" t="n">
        <v>46211.0155787037</v>
      </c>
      <c r="C41" s="10" t="inlineStr">
        <is>
          <t>Нормальный вход по ключу</t>
        </is>
      </c>
      <c r="D41" s="10" t="inlineStr">
        <is>
          <t>Дверь в чистую зону</t>
        </is>
      </c>
      <c r="E41" s="10" t="inlineStr">
        <is>
          <t>07.07–08.07 ночная (вт–ср)</t>
        </is>
      </c>
      <c r="F41" s="10" t="inlineStr">
        <is>
          <t>Вернулся на рабочее место</t>
        </is>
      </c>
    </row>
    <row r="42" ht="18" customHeight="1">
      <c r="A42" s="50" t="n">
        <v>41</v>
      </c>
      <c r="B42" s="52" t="n">
        <v>46211.2762037037</v>
      </c>
      <c r="C42" s="10" t="inlineStr">
        <is>
          <t>Нормальный выход по ключу</t>
        </is>
      </c>
      <c r="D42" s="10" t="inlineStr">
        <is>
          <t>Дверь в чистую зону</t>
        </is>
      </c>
      <c r="E42" s="10" t="inlineStr">
        <is>
          <t>07.07–08.07 ночная (вт–ср)</t>
        </is>
      </c>
      <c r="F42" s="10" t="inlineStr">
        <is>
          <t>Вышел с рабочего места</t>
        </is>
      </c>
    </row>
    <row r="43" ht="18" customHeight="1">
      <c r="A43" s="50" t="n">
        <v>42</v>
      </c>
      <c r="B43" s="52" t="n">
        <v>46211.28325231482</v>
      </c>
      <c r="C43" s="10" t="inlineStr">
        <is>
          <t>Нормальный вход по ключу</t>
        </is>
      </c>
      <c r="D43" s="10" t="inlineStr">
        <is>
          <t>Дверь в чистую зону</t>
        </is>
      </c>
      <c r="E43" s="10" t="inlineStr">
        <is>
          <t>07.07–08.07 ночная (вт–ср)</t>
        </is>
      </c>
      <c r="F43" s="10" t="inlineStr">
        <is>
          <t>Вернулся на рабочее место</t>
        </is>
      </c>
    </row>
    <row r="44" ht="18" customHeight="1">
      <c r="A44" s="35" t="n">
        <v>43</v>
      </c>
      <c r="B44" s="77" t="n">
        <v>46211.37239583334</v>
      </c>
      <c r="C44" s="20" t="inlineStr">
        <is>
          <t>Нормальный выход по ключу</t>
        </is>
      </c>
      <c r="D44" s="20" t="inlineStr">
        <is>
          <t>Дверь в чистую зону</t>
        </is>
      </c>
      <c r="E44" s="20" t="inlineStr">
        <is>
          <t>07.07–08.07 ночная (вт–ср)</t>
        </is>
      </c>
      <c r="F44" s="79" t="inlineStr">
        <is>
          <t>Ранний уход с рабочего места</t>
        </is>
      </c>
    </row>
    <row r="45" ht="18" customHeight="1">
      <c r="A45" s="50" t="n">
        <v>44</v>
      </c>
      <c r="B45" s="52" t="n">
        <v>46211.3905787037</v>
      </c>
      <c r="C45" s="10" t="inlineStr">
        <is>
          <t>Фактический выход</t>
        </is>
      </c>
      <c r="D45" s="86" t="inlineStr">
        <is>
          <t>Турникет на проходной</t>
        </is>
      </c>
      <c r="E45" s="10" t="inlineStr">
        <is>
          <t>07.07–08.07 ночная (вт–ср)</t>
        </is>
      </c>
      <c r="F45" s="10" t="inlineStr">
        <is>
          <t>Выход с территории</t>
        </is>
      </c>
    </row>
    <row r="46" ht="18" customHeight="1">
      <c r="A46" s="50" t="n">
        <v>45</v>
      </c>
      <c r="B46" s="52" t="n">
        <v>46214.35329861111</v>
      </c>
      <c r="C46" s="10" t="inlineStr">
        <is>
          <t>Фактический вход</t>
        </is>
      </c>
      <c r="D46" s="86" t="inlineStr">
        <is>
          <t>Турникет на проходной</t>
        </is>
      </c>
      <c r="E46" s="10" t="inlineStr">
        <is>
          <t>11.07 дневная (сб)</t>
        </is>
      </c>
      <c r="F46" s="10" t="inlineStr">
        <is>
          <t>Вход на территорию</t>
        </is>
      </c>
    </row>
    <row r="47" ht="18" customHeight="1">
      <c r="A47" s="50" t="n">
        <v>46</v>
      </c>
      <c r="B47" s="52" t="n">
        <v>46214.3677662037</v>
      </c>
      <c r="C47" s="10" t="inlineStr">
        <is>
          <t>Нормальный вход по ключу</t>
        </is>
      </c>
      <c r="D47" s="10" t="inlineStr">
        <is>
          <t>Дверь в чистую зону</t>
        </is>
      </c>
      <c r="E47" s="10" t="inlineStr">
        <is>
          <t>11.07 дневная (сб)</t>
        </is>
      </c>
      <c r="F47" s="10" t="inlineStr">
        <is>
          <t>Приход на рабочее место до начала смены</t>
        </is>
      </c>
    </row>
    <row r="48" ht="18" customHeight="1">
      <c r="A48" s="50" t="n">
        <v>47</v>
      </c>
      <c r="B48" s="52" t="n">
        <v>46214.55958333334</v>
      </c>
      <c r="C48" s="10" t="inlineStr">
        <is>
          <t>Нормальный выход по ключу</t>
        </is>
      </c>
      <c r="D48" s="10" t="inlineStr">
        <is>
          <t>Дверь в чистую зону</t>
        </is>
      </c>
      <c r="E48" s="10" t="inlineStr">
        <is>
          <t>11.07 дневная (сб)</t>
        </is>
      </c>
      <c r="F48" s="10" t="inlineStr">
        <is>
          <t>Вышел с рабочего места</t>
        </is>
      </c>
    </row>
    <row r="49" ht="18" customHeight="1">
      <c r="A49" s="50" t="n">
        <v>48</v>
      </c>
      <c r="B49" s="52" t="n">
        <v>46214.58318287037</v>
      </c>
      <c r="C49" s="10" t="inlineStr">
        <is>
          <t>Нормальный вход по ключу</t>
        </is>
      </c>
      <c r="D49" s="10" t="inlineStr">
        <is>
          <t>Дверь в чистую зону</t>
        </is>
      </c>
      <c r="E49" s="10" t="inlineStr">
        <is>
          <t>11.07 дневная (сб)</t>
        </is>
      </c>
      <c r="F49" s="10" t="inlineStr">
        <is>
          <t>Вернулся на рабочее место</t>
        </is>
      </c>
    </row>
    <row r="50" ht="18" customHeight="1">
      <c r="A50" s="50" t="n">
        <v>49</v>
      </c>
      <c r="B50" s="52" t="n">
        <v>46214.59535879629</v>
      </c>
      <c r="C50" s="10" t="inlineStr">
        <is>
          <t>Нормальный выход по ключу</t>
        </is>
      </c>
      <c r="D50" s="10" t="inlineStr">
        <is>
          <t>Дверь в чистую зону</t>
        </is>
      </c>
      <c r="E50" s="10" t="inlineStr">
        <is>
          <t>11.07 дневная (сб)</t>
        </is>
      </c>
      <c r="F50" s="10" t="inlineStr">
        <is>
          <t>Вышел с рабочего места</t>
        </is>
      </c>
    </row>
    <row r="51" ht="18" customHeight="1">
      <c r="A51" s="50" t="n">
        <v>50</v>
      </c>
      <c r="B51" s="52" t="n">
        <v>46214.59594907407</v>
      </c>
      <c r="C51" s="10" t="inlineStr">
        <is>
          <t>Нормальный вход по ключу</t>
        </is>
      </c>
      <c r="D51" s="10" t="inlineStr">
        <is>
          <t>Дверь в чистую зону</t>
        </is>
      </c>
      <c r="E51" s="10" t="inlineStr">
        <is>
          <t>11.07 дневная (сб)</t>
        </is>
      </c>
      <c r="F51" s="10" t="inlineStr">
        <is>
          <t>Вернулся на рабочее место</t>
        </is>
      </c>
    </row>
    <row r="52" ht="18" customHeight="1">
      <c r="A52" s="50" t="n">
        <v>51</v>
      </c>
      <c r="B52" s="52" t="n">
        <v>46214.71738425926</v>
      </c>
      <c r="C52" s="10" t="inlineStr">
        <is>
          <t>Нормальный выход по ключу</t>
        </is>
      </c>
      <c r="D52" s="10" t="inlineStr">
        <is>
          <t>Дверь в чистую зону</t>
        </is>
      </c>
      <c r="E52" s="10" t="inlineStr">
        <is>
          <t>11.07 дневная (сб)</t>
        </is>
      </c>
      <c r="F52" s="10" t="inlineStr">
        <is>
          <t>Вышел с рабочего места</t>
        </is>
      </c>
    </row>
    <row r="53" ht="18" customHeight="1">
      <c r="A53" s="50" t="n">
        <v>52</v>
      </c>
      <c r="B53" s="52" t="n">
        <v>46214.71962962963</v>
      </c>
      <c r="C53" s="10" t="inlineStr">
        <is>
          <t>Нормальный вход по ключу</t>
        </is>
      </c>
      <c r="D53" s="10" t="inlineStr">
        <is>
          <t>Дверь в чистую зону</t>
        </is>
      </c>
      <c r="E53" s="10" t="inlineStr">
        <is>
          <t>11.07 дневная (сб)</t>
        </is>
      </c>
      <c r="F53" s="10" t="inlineStr">
        <is>
          <t>Вернулся на рабочее место</t>
        </is>
      </c>
    </row>
    <row r="54" ht="18" customHeight="1">
      <c r="A54" s="50" t="n">
        <v>53</v>
      </c>
      <c r="B54" s="52" t="n">
        <v>46214.81645833333</v>
      </c>
      <c r="C54" s="10" t="inlineStr">
        <is>
          <t>Нормальный выход по ключу</t>
        </is>
      </c>
      <c r="D54" s="10" t="inlineStr">
        <is>
          <t>Дверь в чистую зону</t>
        </is>
      </c>
      <c r="E54" s="10" t="inlineStr">
        <is>
          <t>11.07 дневная (сб)</t>
        </is>
      </c>
      <c r="F54" s="10" t="inlineStr">
        <is>
          <t>Вышел с рабочего места</t>
        </is>
      </c>
    </row>
    <row r="55" ht="18" customHeight="1">
      <c r="A55" s="50" t="n">
        <v>54</v>
      </c>
      <c r="B55" s="52" t="n">
        <v>46214.82475694444</v>
      </c>
      <c r="C55" s="10" t="inlineStr">
        <is>
          <t>Нормальный вход по ключу</t>
        </is>
      </c>
      <c r="D55" s="10" t="inlineStr">
        <is>
          <t>Дверь в чистую зону</t>
        </is>
      </c>
      <c r="E55" s="10" t="inlineStr">
        <is>
          <t>11.07 дневная (сб)</t>
        </is>
      </c>
      <c r="F55" s="10" t="inlineStr">
        <is>
          <t>Вернулся на рабочее место</t>
        </is>
      </c>
    </row>
    <row r="56" ht="18" customHeight="1">
      <c r="A56" s="50" t="n">
        <v>55</v>
      </c>
      <c r="B56" s="52" t="n">
        <v>46214.87760416666</v>
      </c>
      <c r="C56" s="10" t="inlineStr">
        <is>
          <t>Нормальный выход по ключу</t>
        </is>
      </c>
      <c r="D56" s="10" t="inlineStr">
        <is>
          <t>Дверь в чистую зону</t>
        </is>
      </c>
      <c r="E56" s="10" t="inlineStr">
        <is>
          <t>11.07 дневная (сб)</t>
        </is>
      </c>
      <c r="F56" s="10" t="inlineStr">
        <is>
          <t>Вышел с рабочего места</t>
        </is>
      </c>
    </row>
    <row r="57" ht="18" customHeight="1">
      <c r="A57" s="50" t="n">
        <v>56</v>
      </c>
      <c r="B57" s="52" t="n">
        <v>46214.88</v>
      </c>
      <c r="C57" s="10" t="inlineStr">
        <is>
          <t>Нормальный вход по ключу</t>
        </is>
      </c>
      <c r="D57" s="10" t="inlineStr">
        <is>
          <t>Дверь в чистую зону</t>
        </is>
      </c>
      <c r="E57" s="10" t="inlineStr">
        <is>
          <t>11.07 дневная (сб)</t>
        </is>
      </c>
      <c r="F57" s="10" t="inlineStr">
        <is>
          <t>Вернулся на рабочее место</t>
        </is>
      </c>
    </row>
    <row r="58" ht="18" customHeight="1">
      <c r="A58" s="50" t="n">
        <v>57</v>
      </c>
      <c r="B58" s="52" t="n">
        <v>46214.88273148148</v>
      </c>
      <c r="C58" s="10" t="inlineStr">
        <is>
          <t>Нормальный выход по ключу</t>
        </is>
      </c>
      <c r="D58" s="10" t="inlineStr">
        <is>
          <t>Дверь в чистую зону</t>
        </is>
      </c>
      <c r="E58" s="10" t="inlineStr">
        <is>
          <t>11.07 дневная (сб)</t>
        </is>
      </c>
      <c r="F58" s="10" t="inlineStr">
        <is>
          <t>Уход с рабочего места после конца смены</t>
        </is>
      </c>
    </row>
    <row r="59" ht="18" customHeight="1">
      <c r="A59" s="50" t="n">
        <v>58</v>
      </c>
      <c r="B59" s="52" t="n">
        <v>46214.88685185185</v>
      </c>
      <c r="C59" s="10" t="inlineStr">
        <is>
          <t>Фактический выход</t>
        </is>
      </c>
      <c r="D59" s="86" t="inlineStr">
        <is>
          <t>Турникет на проходной</t>
        </is>
      </c>
      <c r="E59" s="10" t="inlineStr">
        <is>
          <t>11.07 дневная (сб)</t>
        </is>
      </c>
      <c r="F59" s="10" t="inlineStr">
        <is>
          <t>Выход с территории</t>
        </is>
      </c>
    </row>
    <row r="60" ht="18" customHeight="1">
      <c r="A60" s="50" t="n">
        <v>59</v>
      </c>
      <c r="B60" s="52" t="n">
        <v>46215.35071759259</v>
      </c>
      <c r="C60" s="10" t="inlineStr">
        <is>
          <t>Фактический вход</t>
        </is>
      </c>
      <c r="D60" s="86" t="inlineStr">
        <is>
          <t>Турникет на проходной</t>
        </is>
      </c>
      <c r="E60" s="10" t="inlineStr">
        <is>
          <t>12.07 дневная (вс)</t>
        </is>
      </c>
      <c r="F60" s="10" t="inlineStr">
        <is>
          <t>Вход на территорию</t>
        </is>
      </c>
    </row>
    <row r="61" ht="18" customHeight="1">
      <c r="A61" s="50" t="n">
        <v>60</v>
      </c>
      <c r="B61" s="52" t="n">
        <v>46215.36630787037</v>
      </c>
      <c r="C61" s="10" t="inlineStr">
        <is>
          <t>Нормальный вход по ключу</t>
        </is>
      </c>
      <c r="D61" s="10" t="inlineStr">
        <is>
          <t>Дверь в чистую зону</t>
        </is>
      </c>
      <c r="E61" s="10" t="inlineStr">
        <is>
          <t>12.07 дневная (вс)</t>
        </is>
      </c>
      <c r="F61" s="10" t="inlineStr">
        <is>
          <t>Приход на рабочее место до начала смены</t>
        </is>
      </c>
    </row>
    <row r="62" ht="18" customHeight="1">
      <c r="A62" s="50" t="n">
        <v>61</v>
      </c>
      <c r="B62" s="52" t="n">
        <v>46215.42690972222</v>
      </c>
      <c r="C62" s="10" t="inlineStr">
        <is>
          <t>Нормальный выход по ключу</t>
        </is>
      </c>
      <c r="D62" s="10" t="inlineStr">
        <is>
          <t>Дверь в чистую зону</t>
        </is>
      </c>
      <c r="E62" s="10" t="inlineStr">
        <is>
          <t>12.07 дневная (вс)</t>
        </is>
      </c>
      <c r="F62" s="10" t="inlineStr">
        <is>
          <t>Вышел с рабочего места</t>
        </is>
      </c>
    </row>
    <row r="63" ht="18" customHeight="1">
      <c r="A63" s="50" t="n">
        <v>62</v>
      </c>
      <c r="B63" s="52" t="n">
        <v>46215.42765046296</v>
      </c>
      <c r="C63" s="10" t="inlineStr">
        <is>
          <t>Нормальный вход по ключу</t>
        </is>
      </c>
      <c r="D63" s="10" t="inlineStr">
        <is>
          <t>Дверь в чистую зону</t>
        </is>
      </c>
      <c r="E63" s="10" t="inlineStr">
        <is>
          <t>12.07 дневная (вс)</t>
        </is>
      </c>
      <c r="F63" s="10" t="inlineStr">
        <is>
          <t>Вернулся на рабочее место</t>
        </is>
      </c>
    </row>
    <row r="64" ht="18" customHeight="1">
      <c r="A64" s="50" t="n">
        <v>63</v>
      </c>
      <c r="B64" s="52" t="n">
        <v>46215.48077546297</v>
      </c>
      <c r="C64" s="10" t="inlineStr">
        <is>
          <t>Нормальный выход по ключу</t>
        </is>
      </c>
      <c r="D64" s="10" t="inlineStr">
        <is>
          <t>Дверь в чистую зону</t>
        </is>
      </c>
      <c r="E64" s="10" t="inlineStr">
        <is>
          <t>12.07 дневная (вс)</t>
        </is>
      </c>
      <c r="F64" s="10" t="inlineStr">
        <is>
          <t>Вышел с рабочего места</t>
        </is>
      </c>
    </row>
    <row r="65" ht="18" customHeight="1">
      <c r="A65" s="50" t="n">
        <v>64</v>
      </c>
      <c r="B65" s="52" t="n">
        <v>46215.50001157408</v>
      </c>
      <c r="C65" s="10" t="inlineStr">
        <is>
          <t>Нормальный вход по ключу</t>
        </is>
      </c>
      <c r="D65" s="10" t="inlineStr">
        <is>
          <t>Дверь в чистую зону</t>
        </is>
      </c>
      <c r="E65" s="10" t="inlineStr">
        <is>
          <t>12.07 дневная (вс)</t>
        </is>
      </c>
      <c r="F65" s="10" t="inlineStr">
        <is>
          <t>Вернулся на рабочее место</t>
        </is>
      </c>
    </row>
    <row r="66" ht="18" customHeight="1">
      <c r="A66" s="50" t="n">
        <v>65</v>
      </c>
      <c r="B66" s="52" t="n">
        <v>46215.60164351852</v>
      </c>
      <c r="C66" s="10" t="inlineStr">
        <is>
          <t>Нормальный выход по ключу</t>
        </is>
      </c>
      <c r="D66" s="10" t="inlineStr">
        <is>
          <t>Дверь в чистую зону</t>
        </is>
      </c>
      <c r="E66" s="10" t="inlineStr">
        <is>
          <t>12.07 дневная (вс)</t>
        </is>
      </c>
      <c r="F66" s="10" t="inlineStr">
        <is>
          <t>Вышел с рабочего места</t>
        </is>
      </c>
    </row>
    <row r="67" ht="18" customHeight="1">
      <c r="A67" s="50" t="n">
        <v>66</v>
      </c>
      <c r="B67" s="52" t="n">
        <v>46215.61611111111</v>
      </c>
      <c r="C67" s="10" t="inlineStr">
        <is>
          <t>Нормальный вход по ключу</t>
        </is>
      </c>
      <c r="D67" s="10" t="inlineStr">
        <is>
          <t>Дверь в чистую зону</t>
        </is>
      </c>
      <c r="E67" s="10" t="inlineStr">
        <is>
          <t>12.07 дневная (вс)</t>
        </is>
      </c>
      <c r="F67" s="10" t="inlineStr">
        <is>
          <t>Вернулся на рабочее место</t>
        </is>
      </c>
    </row>
    <row r="68" ht="18" customHeight="1">
      <c r="A68" s="50" t="n">
        <v>67</v>
      </c>
      <c r="B68" s="52" t="n">
        <v>46215.7771875</v>
      </c>
      <c r="C68" s="10" t="inlineStr">
        <is>
          <t>Нормальный выход по ключу</t>
        </is>
      </c>
      <c r="D68" s="10" t="inlineStr">
        <is>
          <t>Дверь в чистую зону</t>
        </is>
      </c>
      <c r="E68" s="10" t="inlineStr">
        <is>
          <t>12.07 дневная (вс)</t>
        </is>
      </c>
      <c r="F68" s="10" t="inlineStr">
        <is>
          <t>Вышел с рабочего места</t>
        </is>
      </c>
    </row>
    <row r="69" ht="18" customHeight="1">
      <c r="A69" s="50" t="n">
        <v>68</v>
      </c>
      <c r="B69" s="52" t="n">
        <v>46215.78855324074</v>
      </c>
      <c r="C69" s="10" t="inlineStr">
        <is>
          <t>Нормальный вход по ключу</t>
        </is>
      </c>
      <c r="D69" s="10" t="inlineStr">
        <is>
          <t>Дверь в чистую зону</t>
        </is>
      </c>
      <c r="E69" s="10" t="inlineStr">
        <is>
          <t>12.07 дневная (вс)</t>
        </is>
      </c>
      <c r="F69" s="10" t="inlineStr">
        <is>
          <t>Вернулся на рабочее место</t>
        </is>
      </c>
    </row>
    <row r="70" ht="18" customHeight="1">
      <c r="A70" s="50" t="n">
        <v>69</v>
      </c>
      <c r="B70" s="52" t="n">
        <v>46215.87616898148</v>
      </c>
      <c r="C70" s="10" t="inlineStr">
        <is>
          <t>Нормальный выход по ключу</t>
        </is>
      </c>
      <c r="D70" s="10" t="inlineStr">
        <is>
          <t>Дверь в чистую зону</t>
        </is>
      </c>
      <c r="E70" s="10" t="inlineStr">
        <is>
          <t>12.07 дневная (вс)</t>
        </is>
      </c>
      <c r="F70" s="10" t="inlineStr">
        <is>
          <t>Уход с рабочего места после конца смены</t>
        </is>
      </c>
    </row>
    <row r="71" ht="18" customHeight="1">
      <c r="A71" s="50" t="n">
        <v>70</v>
      </c>
      <c r="B71" s="52" t="n">
        <v>46215.88424768519</v>
      </c>
      <c r="C71" s="10" t="inlineStr">
        <is>
          <t>Фактический выход</t>
        </is>
      </c>
      <c r="D71" s="86" t="inlineStr">
        <is>
          <t>Турникет на проходной</t>
        </is>
      </c>
      <c r="E71" s="10" t="inlineStr">
        <is>
          <t>12.07 дневная (вс)</t>
        </is>
      </c>
      <c r="F71" s="10" t="inlineStr">
        <is>
          <t>Выход с территории</t>
        </is>
      </c>
    </row>
    <row r="72" ht="18" customHeight="1">
      <c r="A72" s="50" t="n">
        <v>71</v>
      </c>
      <c r="B72" s="52" t="n">
        <v>46217.85232638889</v>
      </c>
      <c r="C72" s="10" t="inlineStr">
        <is>
          <t>Фактический вход</t>
        </is>
      </c>
      <c r="D72" s="86" t="inlineStr">
        <is>
          <t>Турникет на проходной</t>
        </is>
      </c>
      <c r="E72" s="10" t="inlineStr">
        <is>
          <t>14.07–15.07 ночная (вт–ср)</t>
        </is>
      </c>
      <c r="F72" s="10" t="inlineStr">
        <is>
          <t>Вход на территорию</t>
        </is>
      </c>
    </row>
    <row r="73" ht="18" customHeight="1">
      <c r="A73" s="50" t="n">
        <v>72</v>
      </c>
      <c r="B73" s="52" t="n">
        <v>46217.87049768519</v>
      </c>
      <c r="C73" s="10" t="inlineStr">
        <is>
          <t>Нормальный вход по ключу</t>
        </is>
      </c>
      <c r="D73" s="10" t="inlineStr">
        <is>
          <t>Дверь в чистую зону</t>
        </is>
      </c>
      <c r="E73" s="10" t="inlineStr">
        <is>
          <t>14.07–15.07 ночная (вт–ср)</t>
        </is>
      </c>
      <c r="F73" s="10" t="inlineStr">
        <is>
          <t>Приход на рабочее место до начала смены</t>
        </is>
      </c>
    </row>
    <row r="74" ht="18" customHeight="1">
      <c r="A74" s="50" t="n">
        <v>73</v>
      </c>
      <c r="B74" s="52" t="n">
        <v>46217.97439814815</v>
      </c>
      <c r="C74" s="10" t="inlineStr">
        <is>
          <t>Нормальный выход по ключу</t>
        </is>
      </c>
      <c r="D74" s="10" t="inlineStr">
        <is>
          <t>Дверь в чистую зону</t>
        </is>
      </c>
      <c r="E74" s="10" t="inlineStr">
        <is>
          <t>14.07–15.07 ночная (вт–ср)</t>
        </is>
      </c>
      <c r="F74" s="10" t="inlineStr">
        <is>
          <t>Вышел с рабочего места</t>
        </is>
      </c>
    </row>
    <row r="75" ht="18" customHeight="1">
      <c r="A75" s="50" t="n">
        <v>74</v>
      </c>
      <c r="B75" s="52" t="n">
        <v>46217.98533564815</v>
      </c>
      <c r="C75" s="10" t="inlineStr">
        <is>
          <t>Нормальный вход по ключу</t>
        </is>
      </c>
      <c r="D75" s="10" t="inlineStr">
        <is>
          <t>Дверь в чистую зону</t>
        </is>
      </c>
      <c r="E75" s="10" t="inlineStr">
        <is>
          <t>14.07–15.07 ночная (вт–ср)</t>
        </is>
      </c>
      <c r="F75" s="10" t="inlineStr">
        <is>
          <t>Вернулся на рабочее место</t>
        </is>
      </c>
    </row>
    <row r="76" ht="18" customHeight="1">
      <c r="A76" s="50" t="n">
        <v>75</v>
      </c>
      <c r="B76" s="52" t="n">
        <v>46218.27873842593</v>
      </c>
      <c r="C76" s="10" t="inlineStr">
        <is>
          <t>Нормальный выход по ключу</t>
        </is>
      </c>
      <c r="D76" s="10" t="inlineStr">
        <is>
          <t>Дверь в чистую зону</t>
        </is>
      </c>
      <c r="E76" s="10" t="inlineStr">
        <is>
          <t>14.07–15.07 ночная (вт–ср)</t>
        </is>
      </c>
      <c r="F76" s="10" t="inlineStr">
        <is>
          <t>Вышел с рабочего места</t>
        </is>
      </c>
    </row>
    <row r="77" ht="18" customHeight="1">
      <c r="A77" s="50" t="n">
        <v>76</v>
      </c>
      <c r="B77" s="52" t="n">
        <v>46218.28681712963</v>
      </c>
      <c r="C77" s="10" t="inlineStr">
        <is>
          <t>Нормальный вход по ключу</t>
        </is>
      </c>
      <c r="D77" s="10" t="inlineStr">
        <is>
          <t>Дверь в чистую зону</t>
        </is>
      </c>
      <c r="E77" s="10" t="inlineStr">
        <is>
          <t>14.07–15.07 ночная (вт–ср)</t>
        </is>
      </c>
      <c r="F77" s="10" t="inlineStr">
        <is>
          <t>Вернулся на рабочее место</t>
        </is>
      </c>
    </row>
    <row r="78" ht="18" customHeight="1">
      <c r="A78" s="50" t="n">
        <v>77</v>
      </c>
      <c r="B78" s="52" t="n">
        <v>46218.37935185185</v>
      </c>
      <c r="C78" s="10" t="inlineStr">
        <is>
          <t>Нормальный выход по ключу</t>
        </is>
      </c>
      <c r="D78" s="10" t="inlineStr">
        <is>
          <t>Дверь в чистую зону</t>
        </is>
      </c>
      <c r="E78" s="10" t="inlineStr">
        <is>
          <t>14.07–15.07 ночная (вт–ср)</t>
        </is>
      </c>
      <c r="F78" s="10" t="inlineStr">
        <is>
          <t>Уход с рабочего места после конца смены</t>
        </is>
      </c>
    </row>
    <row r="79" ht="18" customHeight="1">
      <c r="A79" s="50" t="n">
        <v>78</v>
      </c>
      <c r="B79" s="52" t="n">
        <v>46218.38769675926</v>
      </c>
      <c r="C79" s="10" t="inlineStr">
        <is>
          <t>Фактический выход</t>
        </is>
      </c>
      <c r="D79" s="86" t="inlineStr">
        <is>
          <t>Турникет на проходной</t>
        </is>
      </c>
      <c r="E79" s="10" t="inlineStr">
        <is>
          <t>14.07–15.07 ночная (вт–ср)</t>
        </is>
      </c>
      <c r="F79" s="10" t="inlineStr">
        <is>
          <t>Выход с территории</t>
        </is>
      </c>
    </row>
    <row r="80" ht="18" customHeight="1">
      <c r="A80" s="50" t="n">
        <v>79</v>
      </c>
      <c r="B80" s="52" t="n">
        <v>46218.85128472222</v>
      </c>
      <c r="C80" s="10" t="inlineStr">
        <is>
          <t>Фактический вход</t>
        </is>
      </c>
      <c r="D80" s="86" t="inlineStr">
        <is>
          <t>Турникет на проходной</t>
        </is>
      </c>
      <c r="E80" s="10" t="inlineStr">
        <is>
          <t>15.07–16.07 ночная (ср–чт)</t>
        </is>
      </c>
      <c r="F80" s="10" t="inlineStr">
        <is>
          <t>Вход на территорию</t>
        </is>
      </c>
    </row>
    <row r="81" ht="18" customHeight="1">
      <c r="A81" s="50" t="n">
        <v>80</v>
      </c>
      <c r="B81" s="52" t="n">
        <v>46218.86976851852</v>
      </c>
      <c r="C81" s="10" t="inlineStr">
        <is>
          <t>Нормальный вход по ключу</t>
        </is>
      </c>
      <c r="D81" s="10" t="inlineStr">
        <is>
          <t>Дверь в чистую зону</t>
        </is>
      </c>
      <c r="E81" s="10" t="inlineStr">
        <is>
          <t>15.07–16.07 ночная (ср–чт)</t>
        </is>
      </c>
      <c r="F81" s="10" t="inlineStr">
        <is>
          <t>Приход на рабочее место до начала смены</t>
        </is>
      </c>
    </row>
    <row r="82" ht="18" customHeight="1">
      <c r="A82" s="50" t="n">
        <v>81</v>
      </c>
      <c r="B82" s="52" t="n">
        <v>46218.96217592592</v>
      </c>
      <c r="C82" s="10" t="inlineStr">
        <is>
          <t>Нормальный выход по ключу</t>
        </is>
      </c>
      <c r="D82" s="10" t="inlineStr">
        <is>
          <t>Дверь в чистую зону</t>
        </is>
      </c>
      <c r="E82" s="10" t="inlineStr">
        <is>
          <t>15.07–16.07 ночная (ср–чт)</t>
        </is>
      </c>
      <c r="F82" s="10" t="inlineStr">
        <is>
          <t>Вышел с рабочего места</t>
        </is>
      </c>
    </row>
    <row r="83" ht="18" customHeight="1">
      <c r="A83" s="50" t="n">
        <v>82</v>
      </c>
      <c r="B83" s="52" t="n">
        <v>46218.97311342593</v>
      </c>
      <c r="C83" s="10" t="inlineStr">
        <is>
          <t>Нормальный вход по ключу</t>
        </is>
      </c>
      <c r="D83" s="10" t="inlineStr">
        <is>
          <t>Дверь в чистую зону</t>
        </is>
      </c>
      <c r="E83" s="10" t="inlineStr">
        <is>
          <t>15.07–16.07 ночная (ср–чт)</t>
        </is>
      </c>
      <c r="F83" s="10" t="inlineStr">
        <is>
          <t>Вернулся на рабочее место</t>
        </is>
      </c>
    </row>
    <row r="84" ht="18" customHeight="1">
      <c r="A84" s="50" t="n">
        <v>83</v>
      </c>
      <c r="B84" s="52" t="n">
        <v>46219.15068287037</v>
      </c>
      <c r="C84" s="10" t="inlineStr">
        <is>
          <t>Нормальный выход по ключу</t>
        </is>
      </c>
      <c r="D84" s="10" t="inlineStr">
        <is>
          <t>Дверь в чистую зону</t>
        </is>
      </c>
      <c r="E84" s="10" t="inlineStr">
        <is>
          <t>15.07–16.07 ночная (ср–чт)</t>
        </is>
      </c>
      <c r="F84" s="10" t="inlineStr">
        <is>
          <t>Вышел с рабочего места</t>
        </is>
      </c>
    </row>
    <row r="85" ht="18" customHeight="1">
      <c r="A85" s="50" t="n">
        <v>84</v>
      </c>
      <c r="B85" s="52" t="n">
        <v>46219.15219907407</v>
      </c>
      <c r="C85" s="10" t="inlineStr">
        <is>
          <t>Нормальный вход по ключу</t>
        </is>
      </c>
      <c r="D85" s="10" t="inlineStr">
        <is>
          <t>Дверь в чистую зону</t>
        </is>
      </c>
      <c r="E85" s="10" t="inlineStr">
        <is>
          <t>15.07–16.07 ночная (ср–чт)</t>
        </is>
      </c>
      <c r="F85" s="10" t="inlineStr">
        <is>
          <t>Вернулся на рабочее место</t>
        </is>
      </c>
    </row>
    <row r="86" ht="18" customHeight="1">
      <c r="A86" s="50" t="n">
        <v>85</v>
      </c>
      <c r="B86" s="52" t="n">
        <v>46219.28538194444</v>
      </c>
      <c r="C86" s="10" t="inlineStr">
        <is>
          <t>Нормальный выход по ключу</t>
        </is>
      </c>
      <c r="D86" s="10" t="inlineStr">
        <is>
          <t>Дверь в чистую зону</t>
        </is>
      </c>
      <c r="E86" s="10" t="inlineStr">
        <is>
          <t>15.07–16.07 ночная (ср–чт)</t>
        </is>
      </c>
      <c r="F86" s="10" t="inlineStr">
        <is>
          <t>Вышел с рабочего места</t>
        </is>
      </c>
    </row>
    <row r="87" ht="18" customHeight="1">
      <c r="A87" s="50" t="n">
        <v>86</v>
      </c>
      <c r="B87" s="52" t="n">
        <v>46219.29726851852</v>
      </c>
      <c r="C87" s="10" t="inlineStr">
        <is>
          <t>Нормальный вход по ключу</t>
        </is>
      </c>
      <c r="D87" s="10" t="inlineStr">
        <is>
          <t>Дверь в чистую зону</t>
        </is>
      </c>
      <c r="E87" s="10" t="inlineStr">
        <is>
          <t>15.07–16.07 ночная (ср–чт)</t>
        </is>
      </c>
      <c r="F87" s="10" t="inlineStr">
        <is>
          <t>Вернулся на рабочее место</t>
        </is>
      </c>
    </row>
    <row r="88" ht="18" customHeight="1">
      <c r="A88" s="35" t="n">
        <v>87</v>
      </c>
      <c r="B88" s="77" t="n">
        <v>46219.3703125</v>
      </c>
      <c r="C88" s="20" t="inlineStr">
        <is>
          <t>Нормальный выход по ключу</t>
        </is>
      </c>
      <c r="D88" s="20" t="inlineStr">
        <is>
          <t>Дверь в чистую зону</t>
        </is>
      </c>
      <c r="E88" s="20" t="inlineStr">
        <is>
          <t>15.07–16.07 ночная (ср–чт)</t>
        </is>
      </c>
      <c r="F88" s="79" t="inlineStr">
        <is>
          <t>Ранний уход с рабочего места</t>
        </is>
      </c>
    </row>
    <row r="89" ht="18" customHeight="1">
      <c r="A89" s="50" t="n">
        <v>88</v>
      </c>
      <c r="B89" s="52" t="n">
        <v>46219.37917824074</v>
      </c>
      <c r="C89" s="10" t="inlineStr">
        <is>
          <t>Фактический выход</t>
        </is>
      </c>
      <c r="D89" s="86" t="inlineStr">
        <is>
          <t>Турникет на проходной</t>
        </is>
      </c>
      <c r="E89" s="10" t="inlineStr">
        <is>
          <t>15.07–16.07 ночная (ср–чт)</t>
        </is>
      </c>
      <c r="F89" s="10" t="inlineStr">
        <is>
          <t>Выход с территории</t>
        </is>
      </c>
    </row>
    <row r="90" ht="18" customHeight="1">
      <c r="A90" s="50" t="n">
        <v>89</v>
      </c>
      <c r="B90" s="52" t="n">
        <v>46219.85438657407</v>
      </c>
      <c r="C90" s="10" t="inlineStr">
        <is>
          <t>Фактический вход</t>
        </is>
      </c>
      <c r="D90" s="86" t="inlineStr">
        <is>
          <t>Турникет на проходной</t>
        </is>
      </c>
      <c r="E90" s="10" t="inlineStr">
        <is>
          <t>16.07–17.07 ночная (чт–пт)</t>
        </is>
      </c>
      <c r="F90" s="10" t="inlineStr">
        <is>
          <t>Вход на территорию</t>
        </is>
      </c>
    </row>
    <row r="91" ht="18" customHeight="1">
      <c r="A91" s="36" t="n">
        <v>90</v>
      </c>
      <c r="B91" s="80" t="n">
        <v>46220.01476851852</v>
      </c>
      <c r="C91" s="15" t="inlineStr">
        <is>
          <t>Нормальный вход по ключу</t>
        </is>
      </c>
      <c r="D91" s="15" t="inlineStr">
        <is>
          <t>Дверь в чистую зону</t>
        </is>
      </c>
      <c r="E91" s="15" t="inlineStr">
        <is>
          <t>16.07–17.07 ночная (чт–пт)</t>
        </is>
      </c>
      <c r="F91" s="82" t="inlineStr">
        <is>
          <t>Опоздание на рабочее место</t>
        </is>
      </c>
    </row>
    <row r="92" ht="18" customHeight="1">
      <c r="A92" s="50" t="n">
        <v>91</v>
      </c>
      <c r="B92" s="52" t="n">
        <v>46220.25148148148</v>
      </c>
      <c r="C92" s="10" t="inlineStr">
        <is>
          <t>Нормальный выход по ключу</t>
        </is>
      </c>
      <c r="D92" s="10" t="inlineStr">
        <is>
          <t>Дверь в чистую зону</t>
        </is>
      </c>
      <c r="E92" s="10" t="inlineStr">
        <is>
          <t>16.07–17.07 ночная (чт–пт)</t>
        </is>
      </c>
      <c r="F92" s="10" t="inlineStr">
        <is>
          <t>Вышел с рабочего места</t>
        </is>
      </c>
    </row>
    <row r="93" ht="18" customHeight="1">
      <c r="A93" s="50" t="n">
        <v>92</v>
      </c>
      <c r="B93" s="52" t="n">
        <v>46220.26344907407</v>
      </c>
      <c r="C93" s="10" t="inlineStr">
        <is>
          <t>Нормальный вход по ключу</t>
        </is>
      </c>
      <c r="D93" s="10" t="inlineStr">
        <is>
          <t>Дверь в чистую зону</t>
        </is>
      </c>
      <c r="E93" s="10" t="inlineStr">
        <is>
          <t>16.07–17.07 ночная (чт–пт)</t>
        </is>
      </c>
      <c r="F93" s="10" t="inlineStr">
        <is>
          <t>Вернулся на рабочее место</t>
        </is>
      </c>
    </row>
    <row r="94" ht="18" customHeight="1">
      <c r="A94" s="50" t="n">
        <v>93</v>
      </c>
      <c r="B94" s="52" t="n">
        <v>46220.38033564815</v>
      </c>
      <c r="C94" s="10" t="inlineStr">
        <is>
          <t>Нормальный выход по ключу</t>
        </is>
      </c>
      <c r="D94" s="10" t="inlineStr">
        <is>
          <t>Дверь в чистую зону</t>
        </is>
      </c>
      <c r="E94" s="10" t="inlineStr">
        <is>
          <t>16.07–17.07 ночная (чт–пт)</t>
        </is>
      </c>
      <c r="F94" s="10" t="inlineStr">
        <is>
          <t>Уход с рабочего места после конца смены</t>
        </is>
      </c>
    </row>
    <row r="95" ht="18" customHeight="1">
      <c r="A95" s="50" t="n">
        <v>94</v>
      </c>
      <c r="B95" s="52" t="n">
        <v>46220.38925925926</v>
      </c>
      <c r="C95" s="10" t="inlineStr">
        <is>
          <t>Фактический выход</t>
        </is>
      </c>
      <c r="D95" s="86" t="inlineStr">
        <is>
          <t>Турникет на проходной</t>
        </is>
      </c>
      <c r="E95" s="10" t="inlineStr">
        <is>
          <t>16.07–17.07 ночная (чт–пт)</t>
        </is>
      </c>
      <c r="F95" s="10" t="inlineStr">
        <is>
          <t>Выход с территории</t>
        </is>
      </c>
    </row>
    <row r="96" ht="18" customHeight="1">
      <c r="A96" s="50" t="n">
        <v>95</v>
      </c>
      <c r="B96" s="52" t="n">
        <v>46222.35186342592</v>
      </c>
      <c r="C96" s="10" t="inlineStr">
        <is>
          <t>Фактический вход</t>
        </is>
      </c>
      <c r="D96" s="86" t="inlineStr">
        <is>
          <t>Турникет на проходной</t>
        </is>
      </c>
      <c r="E96" s="10" t="inlineStr">
        <is>
          <t>19.07 дневная (вс)</t>
        </is>
      </c>
      <c r="F96" s="10" t="inlineStr">
        <is>
          <t>Вход на территорию</t>
        </is>
      </c>
    </row>
    <row r="97" ht="18" customHeight="1">
      <c r="A97" s="50" t="n">
        <v>96</v>
      </c>
      <c r="B97" s="52" t="n">
        <v>46222.36753472222</v>
      </c>
      <c r="C97" s="10" t="inlineStr">
        <is>
          <t>Нормальный вход по ключу</t>
        </is>
      </c>
      <c r="D97" s="10" t="inlineStr">
        <is>
          <t>Дверь в чистую зону</t>
        </is>
      </c>
      <c r="E97" s="10" t="inlineStr">
        <is>
          <t>19.07 дневная (вс)</t>
        </is>
      </c>
      <c r="F97" s="10" t="inlineStr">
        <is>
          <t>Приход на рабочее место до начала смены</t>
        </is>
      </c>
    </row>
    <row r="98" ht="18" customHeight="1">
      <c r="A98" s="50" t="n">
        <v>97</v>
      </c>
      <c r="B98" s="52" t="n">
        <v>46222.56079861111</v>
      </c>
      <c r="C98" s="10" t="inlineStr">
        <is>
          <t>Нормальный выход по ключу</t>
        </is>
      </c>
      <c r="D98" s="10" t="inlineStr">
        <is>
          <t>Дверь в чистую зону</t>
        </is>
      </c>
      <c r="E98" s="10" t="inlineStr">
        <is>
          <t>19.07 дневная (вс)</t>
        </is>
      </c>
      <c r="F98" s="10" t="inlineStr">
        <is>
          <t>Вышел с рабочего места</t>
        </is>
      </c>
    </row>
    <row r="99" ht="18" customHeight="1">
      <c r="A99" s="50" t="n">
        <v>98</v>
      </c>
      <c r="B99" s="52" t="n">
        <v>46222.57641203704</v>
      </c>
      <c r="C99" s="10" t="inlineStr">
        <is>
          <t>Нормальный вход по ключу</t>
        </is>
      </c>
      <c r="D99" s="10" t="inlineStr">
        <is>
          <t>Дверь в чистую зону</t>
        </is>
      </c>
      <c r="E99" s="10" t="inlineStr">
        <is>
          <t>19.07 дневная (вс)</t>
        </is>
      </c>
      <c r="F99" s="10" t="inlineStr">
        <is>
          <t>Вернулся на рабочее место</t>
        </is>
      </c>
    </row>
    <row r="100" ht="18" customHeight="1">
      <c r="A100" s="50" t="n">
        <v>99</v>
      </c>
      <c r="B100" s="52" t="n">
        <v>46222.7505787037</v>
      </c>
      <c r="C100" s="10" t="inlineStr">
        <is>
          <t>Нормальный выход по ключу</t>
        </is>
      </c>
      <c r="D100" s="10" t="inlineStr">
        <is>
          <t>Дверь в чистую зону</t>
        </is>
      </c>
      <c r="E100" s="10" t="inlineStr">
        <is>
          <t>19.07 дневная (вс)</t>
        </is>
      </c>
      <c r="F100" s="10" t="inlineStr">
        <is>
          <t>Вышел с рабочего места</t>
        </is>
      </c>
    </row>
    <row r="101" ht="18" customHeight="1">
      <c r="A101" s="50" t="n">
        <v>100</v>
      </c>
      <c r="B101" s="52" t="n">
        <v>46222.75982638889</v>
      </c>
      <c r="C101" s="10" t="inlineStr">
        <is>
          <t>Нормальный вход по ключу</t>
        </is>
      </c>
      <c r="D101" s="10" t="inlineStr">
        <is>
          <t>Дверь в чистую зону</t>
        </is>
      </c>
      <c r="E101" s="10" t="inlineStr">
        <is>
          <t>19.07 дневная (вс)</t>
        </is>
      </c>
      <c r="F101" s="10" t="inlineStr">
        <is>
          <t>Вернулся на рабочее место</t>
        </is>
      </c>
    </row>
    <row r="102" ht="18" customHeight="1">
      <c r="A102" s="35" t="n">
        <v>101</v>
      </c>
      <c r="B102" s="77" t="n">
        <v>46222.8703125</v>
      </c>
      <c r="C102" s="20" t="inlineStr">
        <is>
          <t>Нормальный выход по ключу</t>
        </is>
      </c>
      <c r="D102" s="20" t="inlineStr">
        <is>
          <t>Дверь в чистую зону</t>
        </is>
      </c>
      <c r="E102" s="20" t="inlineStr">
        <is>
          <t>19.07 дневная (вс)</t>
        </is>
      </c>
      <c r="F102" s="79" t="inlineStr">
        <is>
          <t>Ранний уход с рабочего места</t>
        </is>
      </c>
    </row>
    <row r="103" ht="18" customHeight="1">
      <c r="A103" s="50" t="n">
        <v>102</v>
      </c>
      <c r="B103" s="52" t="n">
        <v>46222.8806712963</v>
      </c>
      <c r="C103" s="10" t="inlineStr">
        <is>
          <t>Фактический выход</t>
        </is>
      </c>
      <c r="D103" s="86" t="inlineStr">
        <is>
          <t>Турникет на проходной</t>
        </is>
      </c>
      <c r="E103" s="10" t="inlineStr">
        <is>
          <t>19.07 дневная (вс)</t>
        </is>
      </c>
      <c r="F103" s="10" t="inlineStr">
        <is>
          <t>Выход с территории</t>
        </is>
      </c>
    </row>
    <row r="104" ht="18" customHeight="1">
      <c r="A104" s="50" t="n">
        <v>103</v>
      </c>
      <c r="B104" s="52" t="n">
        <v>46223.35579861111</v>
      </c>
      <c r="C104" s="10" t="inlineStr">
        <is>
          <t>Фактический вход</t>
        </is>
      </c>
      <c r="D104" s="86" t="inlineStr">
        <is>
          <t>Турникет на проходной</t>
        </is>
      </c>
      <c r="E104" s="10" t="inlineStr">
        <is>
          <t>20.07 дневная (пн)</t>
        </is>
      </c>
      <c r="F104" s="10" t="inlineStr">
        <is>
          <t>Вход на территорию</t>
        </is>
      </c>
    </row>
    <row r="105" ht="18" customHeight="1">
      <c r="A105" s="50" t="n">
        <v>104</v>
      </c>
      <c r="B105" s="52" t="n">
        <v>46223.36982638889</v>
      </c>
      <c r="C105" s="10" t="inlineStr">
        <is>
          <t>Нормальный вход по ключу</t>
        </is>
      </c>
      <c r="D105" s="10" t="inlineStr">
        <is>
          <t>Дверь в чистую зону</t>
        </is>
      </c>
      <c r="E105" s="10" t="inlineStr">
        <is>
          <t>20.07 дневная (пн)</t>
        </is>
      </c>
      <c r="F105" s="10" t="inlineStr">
        <is>
          <t>Приход на рабочее место до начала смены</t>
        </is>
      </c>
    </row>
    <row r="106" ht="18" customHeight="1">
      <c r="A106" s="50" t="n">
        <v>105</v>
      </c>
      <c r="B106" s="52" t="n">
        <v>46223.43667824074</v>
      </c>
      <c r="C106" s="10" t="inlineStr">
        <is>
          <t>Нормальный выход по ключу</t>
        </is>
      </c>
      <c r="D106" s="10" t="inlineStr">
        <is>
          <t>Дверь в чистую зону</t>
        </is>
      </c>
      <c r="E106" s="10" t="inlineStr">
        <is>
          <t>20.07 дневная (пн)</t>
        </is>
      </c>
      <c r="F106" s="10" t="inlineStr">
        <is>
          <t>Вышел с рабочего места</t>
        </is>
      </c>
    </row>
    <row r="107" ht="18" customHeight="1">
      <c r="A107" s="50" t="n">
        <v>106</v>
      </c>
      <c r="B107" s="52" t="n">
        <v>46223.43739583333</v>
      </c>
      <c r="C107" s="10" t="inlineStr">
        <is>
          <t>Нормальный вход по ключу</t>
        </is>
      </c>
      <c r="D107" s="10" t="inlineStr">
        <is>
          <t>Дверь в чистую зону</t>
        </is>
      </c>
      <c r="E107" s="10" t="inlineStr">
        <is>
          <t>20.07 дневная (пн)</t>
        </is>
      </c>
      <c r="F107" s="10" t="inlineStr">
        <is>
          <t>Вернулся на рабочее место</t>
        </is>
      </c>
    </row>
    <row r="108" ht="18" customHeight="1">
      <c r="A108" s="50" t="n">
        <v>107</v>
      </c>
      <c r="B108" s="52" t="n">
        <v>46223.55101851852</v>
      </c>
      <c r="C108" s="10" t="inlineStr">
        <is>
          <t>Нормальный выход по ключу</t>
        </is>
      </c>
      <c r="D108" s="10" t="inlineStr">
        <is>
          <t>Дверь в чистую зону</t>
        </is>
      </c>
      <c r="E108" s="10" t="inlineStr">
        <is>
          <t>20.07 дневная (пн)</t>
        </is>
      </c>
      <c r="F108" s="10" t="inlineStr">
        <is>
          <t>Вышел с рабочего места</t>
        </is>
      </c>
    </row>
    <row r="109" ht="18" customHeight="1">
      <c r="A109" s="50" t="n">
        <v>108</v>
      </c>
      <c r="B109" s="52" t="n">
        <v>46223.56460648148</v>
      </c>
      <c r="C109" s="10" t="inlineStr">
        <is>
          <t>Нормальный вход по ключу</t>
        </is>
      </c>
      <c r="D109" s="10" t="inlineStr">
        <is>
          <t>Дверь в чистую зону</t>
        </is>
      </c>
      <c r="E109" s="10" t="inlineStr">
        <is>
          <t>20.07 дневная (пн)</t>
        </is>
      </c>
      <c r="F109" s="10" t="inlineStr">
        <is>
          <t>Вернулся на рабочее место</t>
        </is>
      </c>
    </row>
    <row r="110" ht="18" customHeight="1">
      <c r="A110" s="50" t="n">
        <v>109</v>
      </c>
      <c r="B110" s="52" t="n">
        <v>46223.72384259259</v>
      </c>
      <c r="C110" s="10" t="inlineStr">
        <is>
          <t>Нормальный выход по ключу</t>
        </is>
      </c>
      <c r="D110" s="10" t="inlineStr">
        <is>
          <t>Дверь в чистую зону</t>
        </is>
      </c>
      <c r="E110" s="10" t="inlineStr">
        <is>
          <t>20.07 дневная (пн)</t>
        </is>
      </c>
      <c r="F110" s="10" t="inlineStr">
        <is>
          <t>Вышел с рабочего места</t>
        </is>
      </c>
    </row>
    <row r="111" ht="18" customHeight="1">
      <c r="A111" s="50" t="n">
        <v>110</v>
      </c>
      <c r="B111" s="52" t="n">
        <v>46223.73261574074</v>
      </c>
      <c r="C111" s="10" t="inlineStr">
        <is>
          <t>Нормальный вход по ключу</t>
        </is>
      </c>
      <c r="D111" s="10" t="inlineStr">
        <is>
          <t>Дверь в чистую зону</t>
        </is>
      </c>
      <c r="E111" s="10" t="inlineStr">
        <is>
          <t>20.07 дневная (пн)</t>
        </is>
      </c>
      <c r="F111" s="10" t="inlineStr">
        <is>
          <t>Вернулся на рабочее место</t>
        </is>
      </c>
    </row>
    <row r="112" ht="18" customHeight="1">
      <c r="A112" s="50" t="n">
        <v>111</v>
      </c>
      <c r="B112" s="52" t="n">
        <v>46223.73289351852</v>
      </c>
      <c r="C112" s="10" t="inlineStr">
        <is>
          <t>Нормальный выход по ключу</t>
        </is>
      </c>
      <c r="D112" s="10" t="inlineStr">
        <is>
          <t>Дверь в чистую зону</t>
        </is>
      </c>
      <c r="E112" s="10" t="inlineStr">
        <is>
          <t>20.07 дневная (пн)</t>
        </is>
      </c>
      <c r="F112" s="10" t="inlineStr">
        <is>
          <t>Вышел с рабочего места</t>
        </is>
      </c>
    </row>
    <row r="113" ht="18" customHeight="1">
      <c r="A113" s="50" t="n">
        <v>112</v>
      </c>
      <c r="B113" s="52" t="n">
        <v>46223.7415625</v>
      </c>
      <c r="C113" s="10" t="inlineStr">
        <is>
          <t>Нормальный вход по ключу</t>
        </is>
      </c>
      <c r="D113" s="10" t="inlineStr">
        <is>
          <t>Дверь в чистую зону</t>
        </is>
      </c>
      <c r="E113" s="10" t="inlineStr">
        <is>
          <t>20.07 дневная (пн)</t>
        </is>
      </c>
      <c r="F113" s="10" t="inlineStr">
        <is>
          <t>Вернулся на рабочее место</t>
        </is>
      </c>
    </row>
    <row r="114" ht="18" customHeight="1">
      <c r="A114" s="50" t="n">
        <v>113</v>
      </c>
      <c r="B114" s="52" t="n">
        <v>46223.83262731481</v>
      </c>
      <c r="C114" s="10" t="inlineStr">
        <is>
          <t>Нормальный выход по ключу</t>
        </is>
      </c>
      <c r="D114" s="10" t="inlineStr">
        <is>
          <t>Дверь в чистую зону</t>
        </is>
      </c>
      <c r="E114" s="10" t="inlineStr">
        <is>
          <t>20.07 дневная (пн)</t>
        </is>
      </c>
      <c r="F114" s="10" t="inlineStr">
        <is>
          <t>Вышел с рабочего места</t>
        </is>
      </c>
    </row>
    <row r="115" ht="18" customHeight="1">
      <c r="A115" s="50" t="n">
        <v>114</v>
      </c>
      <c r="B115" s="52" t="n">
        <v>46223.84592592593</v>
      </c>
      <c r="C115" s="10" t="inlineStr">
        <is>
          <t>Нормальный вход по ключу</t>
        </is>
      </c>
      <c r="D115" s="10" t="inlineStr">
        <is>
          <t>Дверь в чистую зону</t>
        </is>
      </c>
      <c r="E115" s="10" t="inlineStr">
        <is>
          <t>20.07 дневная (пн)</t>
        </is>
      </c>
      <c r="F115" s="10" t="inlineStr">
        <is>
          <t>Вернулся на рабочее место</t>
        </is>
      </c>
    </row>
    <row r="116" ht="18" customHeight="1">
      <c r="A116" s="50" t="n">
        <v>115</v>
      </c>
      <c r="B116" s="52" t="n">
        <v>46223.87871527778</v>
      </c>
      <c r="C116" s="10" t="inlineStr">
        <is>
          <t>Нормальный выход по ключу</t>
        </is>
      </c>
      <c r="D116" s="10" t="inlineStr">
        <is>
          <t>Дверь в чистую зону</t>
        </is>
      </c>
      <c r="E116" s="10" t="inlineStr">
        <is>
          <t>20.07 дневная (пн)</t>
        </is>
      </c>
      <c r="F116" s="10" t="inlineStr">
        <is>
          <t>Уход с рабочего места после конца смены</t>
        </is>
      </c>
    </row>
    <row r="117" ht="18" customHeight="1">
      <c r="A117" s="50" t="n">
        <v>116</v>
      </c>
      <c r="B117" s="52" t="n">
        <v>46223.88690972222</v>
      </c>
      <c r="C117" s="10" t="inlineStr">
        <is>
          <t>Фактический выход</t>
        </is>
      </c>
      <c r="D117" s="86" t="inlineStr">
        <is>
          <t>Турникет на проходной</t>
        </is>
      </c>
      <c r="E117" s="10" t="inlineStr">
        <is>
          <t>20.07 дневная (пн)</t>
        </is>
      </c>
      <c r="F117" s="10" t="inlineStr">
        <is>
          <t>Выход с территории</t>
        </is>
      </c>
    </row>
    <row r="118" ht="18" customHeight="1">
      <c r="A118" s="50" t="n">
        <v>117</v>
      </c>
      <c r="B118" s="52" t="n">
        <v>46224.85827546296</v>
      </c>
      <c r="C118" s="10" t="inlineStr">
        <is>
          <t>Фактический вход</t>
        </is>
      </c>
      <c r="D118" s="86" t="inlineStr">
        <is>
          <t>Турникет на проходной</t>
        </is>
      </c>
      <c r="E118" s="10" t="inlineStr">
        <is>
          <t>21.07–22.07 ночная (вт–ср)</t>
        </is>
      </c>
      <c r="F118" s="10" t="inlineStr">
        <is>
          <t>Вход на территорию</t>
        </is>
      </c>
    </row>
    <row r="119" ht="18" customHeight="1">
      <c r="A119" s="36" t="n">
        <v>118</v>
      </c>
      <c r="B119" s="80" t="n">
        <v>46224.8759375</v>
      </c>
      <c r="C119" s="15" t="inlineStr">
        <is>
          <t>Нормальный вход по ключу</t>
        </is>
      </c>
      <c r="D119" s="15" t="inlineStr">
        <is>
          <t>Дверь в чистую зону</t>
        </is>
      </c>
      <c r="E119" s="15" t="inlineStr">
        <is>
          <t>21.07–22.07 ночная (вт–ср)</t>
        </is>
      </c>
      <c r="F119" s="82" t="inlineStr">
        <is>
          <t>Опоздание на рабочее место</t>
        </is>
      </c>
    </row>
    <row r="120" ht="18" customHeight="1">
      <c r="A120" s="50" t="n">
        <v>119</v>
      </c>
      <c r="B120" s="52" t="n">
        <v>46224.98168981481</v>
      </c>
      <c r="C120" s="10" t="inlineStr">
        <is>
          <t>Нормальный выход по ключу</t>
        </is>
      </c>
      <c r="D120" s="10" t="inlineStr">
        <is>
          <t>Дверь в чистую зону</t>
        </is>
      </c>
      <c r="E120" s="10" t="inlineStr">
        <is>
          <t>21.07–22.07 ночная (вт–ср)</t>
        </is>
      </c>
      <c r="F120" s="10" t="inlineStr">
        <is>
          <t>Вышел с рабочего места</t>
        </is>
      </c>
    </row>
    <row r="121" ht="18" customHeight="1">
      <c r="A121" s="50" t="n">
        <v>120</v>
      </c>
      <c r="B121" s="52" t="n">
        <v>46225.01297453704</v>
      </c>
      <c r="C121" s="10" t="inlineStr">
        <is>
          <t>Нормальный вход по ключу</t>
        </is>
      </c>
      <c r="D121" s="10" t="inlineStr">
        <is>
          <t>Дверь в чистую зону</t>
        </is>
      </c>
      <c r="E121" s="10" t="inlineStr">
        <is>
          <t>21.07–22.07 ночная (вт–ср)</t>
        </is>
      </c>
      <c r="F121" s="10" t="inlineStr">
        <is>
          <t>Вернулся на рабочее место</t>
        </is>
      </c>
    </row>
    <row r="122" ht="18" customHeight="1">
      <c r="A122" s="50" t="n">
        <v>121</v>
      </c>
      <c r="B122" s="52" t="n">
        <v>46225.05451388889</v>
      </c>
      <c r="C122" s="10" t="inlineStr">
        <is>
          <t>Нормальный выход по ключу</t>
        </is>
      </c>
      <c r="D122" s="10" t="inlineStr">
        <is>
          <t>Дверь в чистую зону</t>
        </is>
      </c>
      <c r="E122" s="10" t="inlineStr">
        <is>
          <t>21.07–22.07 ночная (вт–ср)</t>
        </is>
      </c>
      <c r="F122" s="10" t="inlineStr">
        <is>
          <t>Вышел с рабочего места</t>
        </is>
      </c>
    </row>
    <row r="123" ht="18" customHeight="1">
      <c r="A123" s="50" t="n">
        <v>122</v>
      </c>
      <c r="B123" s="52" t="n">
        <v>46225.05534722222</v>
      </c>
      <c r="C123" s="10" t="inlineStr">
        <is>
          <t>Нормальный вход по ключу</t>
        </is>
      </c>
      <c r="D123" s="10" t="inlineStr">
        <is>
          <t>Дверь в чистую зону</t>
        </is>
      </c>
      <c r="E123" s="10" t="inlineStr">
        <is>
          <t>21.07–22.07 ночная (вт–ср)</t>
        </is>
      </c>
      <c r="F123" s="10" t="inlineStr">
        <is>
          <t>Вернулся на рабочее место</t>
        </is>
      </c>
    </row>
    <row r="124" ht="18" customHeight="1">
      <c r="A124" s="50" t="n">
        <v>123</v>
      </c>
      <c r="B124" s="52" t="n">
        <v>46225.21377314815</v>
      </c>
      <c r="C124" s="10" t="inlineStr">
        <is>
          <t>Нормальный выход по ключу</t>
        </is>
      </c>
      <c r="D124" s="10" t="inlineStr">
        <is>
          <t>Дверь в чистую зону</t>
        </is>
      </c>
      <c r="E124" s="10" t="inlineStr">
        <is>
          <t>21.07–22.07 ночная (вт–ср)</t>
        </is>
      </c>
      <c r="F124" s="10" t="inlineStr">
        <is>
          <t>Вышел с рабочего места</t>
        </is>
      </c>
    </row>
    <row r="125" ht="18" customHeight="1">
      <c r="A125" s="50" t="n">
        <v>124</v>
      </c>
      <c r="B125" s="52" t="n">
        <v>46225.22439814815</v>
      </c>
      <c r="C125" s="10" t="inlineStr">
        <is>
          <t>Нормальный вход по ключу</t>
        </is>
      </c>
      <c r="D125" s="10" t="inlineStr">
        <is>
          <t>Дверь в чистую зону</t>
        </is>
      </c>
      <c r="E125" s="10" t="inlineStr">
        <is>
          <t>21.07–22.07 ночная (вт–ср)</t>
        </is>
      </c>
      <c r="F125" s="10" t="inlineStr">
        <is>
          <t>Вернулся на рабочее место</t>
        </is>
      </c>
    </row>
    <row r="126" ht="18" customHeight="1">
      <c r="A126" s="50" t="n">
        <v>125</v>
      </c>
      <c r="B126" s="52" t="n">
        <v>46225.38234953704</v>
      </c>
      <c r="C126" s="10" t="inlineStr">
        <is>
          <t>Нормальный выход по ключу</t>
        </is>
      </c>
      <c r="D126" s="10" t="inlineStr">
        <is>
          <t>Дверь в чистую зону</t>
        </is>
      </c>
      <c r="E126" s="10" t="inlineStr">
        <is>
          <t>21.07–22.07 ночная (вт–ср)</t>
        </is>
      </c>
      <c r="F126" s="10" t="inlineStr">
        <is>
          <t>Уход с рабочего места после конца смены</t>
        </is>
      </c>
    </row>
    <row r="127" ht="18" customHeight="1">
      <c r="A127" s="50" t="n">
        <v>126</v>
      </c>
      <c r="B127" s="52" t="n">
        <v>46225.39138888889</v>
      </c>
      <c r="C127" s="10" t="inlineStr">
        <is>
          <t>Фактический выход</t>
        </is>
      </c>
      <c r="D127" s="86" t="inlineStr">
        <is>
          <t>Турникет на проходной</t>
        </is>
      </c>
      <c r="E127" s="10" t="inlineStr">
        <is>
          <t>21.07–22.07 ночная (вт–ср)</t>
        </is>
      </c>
      <c r="F127" s="10" t="inlineStr">
        <is>
          <t>Выход с территории</t>
        </is>
      </c>
    </row>
    <row r="128" ht="18" customHeight="1">
      <c r="A128" s="50" t="n">
        <v>127</v>
      </c>
      <c r="B128" s="52" t="n">
        <v>46225.85748842593</v>
      </c>
      <c r="C128" s="10" t="inlineStr">
        <is>
          <t>Фактический вход</t>
        </is>
      </c>
      <c r="D128" s="86" t="inlineStr">
        <is>
          <t>Турникет на проходной</t>
        </is>
      </c>
      <c r="E128" s="10" t="inlineStr">
        <is>
          <t>22.07–23.07 ночная (ср–чт)</t>
        </is>
      </c>
      <c r="F128" s="10" t="inlineStr">
        <is>
          <t>Вход на территорию</t>
        </is>
      </c>
    </row>
    <row r="129" ht="18" customHeight="1">
      <c r="A129" s="50" t="n">
        <v>128</v>
      </c>
      <c r="B129" s="52" t="n">
        <v>46225.87144675926</v>
      </c>
      <c r="C129" s="10" t="inlineStr">
        <is>
          <t>Нормальный вход по ключу</t>
        </is>
      </c>
      <c r="D129" s="10" t="inlineStr">
        <is>
          <t>Дверь в чистую зону</t>
        </is>
      </c>
      <c r="E129" s="10" t="inlineStr">
        <is>
          <t>22.07–23.07 ночная (ср–чт)</t>
        </is>
      </c>
      <c r="F129" s="10" t="inlineStr">
        <is>
          <t>Приход на рабочее место до начала смены</t>
        </is>
      </c>
    </row>
    <row r="130" ht="18" customHeight="1">
      <c r="A130" s="50" t="n">
        <v>129</v>
      </c>
      <c r="B130" s="52" t="n">
        <v>46226.02863425926</v>
      </c>
      <c r="C130" s="10" t="inlineStr">
        <is>
          <t>Нормальный выход по ключу</t>
        </is>
      </c>
      <c r="D130" s="10" t="inlineStr">
        <is>
          <t>Дверь в чистую зону</t>
        </is>
      </c>
      <c r="E130" s="10" t="inlineStr">
        <is>
          <t>22.07–23.07 ночная (ср–чт)</t>
        </is>
      </c>
      <c r="F130" s="10" t="inlineStr">
        <is>
          <t>Вышел с рабочего места</t>
        </is>
      </c>
    </row>
    <row r="131" ht="18" customHeight="1">
      <c r="A131" s="50" t="n">
        <v>130</v>
      </c>
      <c r="B131" s="52" t="n">
        <v>46226.04447916667</v>
      </c>
      <c r="C131" s="10" t="inlineStr">
        <is>
          <t>Нормальный вход по ключу</t>
        </is>
      </c>
      <c r="D131" s="10" t="inlineStr">
        <is>
          <t>Дверь в чистую зону</t>
        </is>
      </c>
      <c r="E131" s="10" t="inlineStr">
        <is>
          <t>22.07–23.07 ночная (ср–чт)</t>
        </is>
      </c>
      <c r="F131" s="10" t="inlineStr">
        <is>
          <t>Вернулся на рабочее место</t>
        </is>
      </c>
    </row>
    <row r="132" ht="18" customHeight="1">
      <c r="A132" s="50" t="n">
        <v>131</v>
      </c>
      <c r="B132" s="52" t="n">
        <v>46226.23349537037</v>
      </c>
      <c r="C132" s="10" t="inlineStr">
        <is>
          <t>Нормальный выход по ключу</t>
        </is>
      </c>
      <c r="D132" s="10" t="inlineStr">
        <is>
          <t>Дверь в чистую зону</t>
        </is>
      </c>
      <c r="E132" s="10" t="inlineStr">
        <is>
          <t>22.07–23.07 ночная (ср–чт)</t>
        </is>
      </c>
      <c r="F132" s="10" t="inlineStr">
        <is>
          <t>Вышел с рабочего места</t>
        </is>
      </c>
    </row>
    <row r="133" ht="18" customHeight="1">
      <c r="A133" s="50" t="n">
        <v>132</v>
      </c>
      <c r="B133" s="52" t="n">
        <v>46226.24597222222</v>
      </c>
      <c r="C133" s="10" t="inlineStr">
        <is>
          <t>Нормальный вход по ключу</t>
        </is>
      </c>
      <c r="D133" s="10" t="inlineStr">
        <is>
          <t>Дверь в чистую зону</t>
        </is>
      </c>
      <c r="E133" s="10" t="inlineStr">
        <is>
          <t>22.07–23.07 ночная (ср–чт)</t>
        </is>
      </c>
      <c r="F133" s="10" t="inlineStr">
        <is>
          <t>Вернулся на рабочее место</t>
        </is>
      </c>
    </row>
    <row r="134" ht="18" customHeight="1">
      <c r="A134" s="50" t="n">
        <v>133</v>
      </c>
      <c r="B134" s="52" t="n">
        <v>46226.24636574074</v>
      </c>
      <c r="C134" s="10" t="inlineStr">
        <is>
          <t>Нормальный выход по ключу</t>
        </is>
      </c>
      <c r="D134" s="10" t="inlineStr">
        <is>
          <t>Дверь в чистую зону</t>
        </is>
      </c>
      <c r="E134" s="10" t="inlineStr">
        <is>
          <t>22.07–23.07 ночная (ср–чт)</t>
        </is>
      </c>
      <c r="F134" s="10" t="inlineStr">
        <is>
          <t>Вышел с рабочего места</t>
        </is>
      </c>
    </row>
    <row r="135" ht="18" customHeight="1">
      <c r="A135" s="50" t="n">
        <v>134</v>
      </c>
      <c r="B135" s="52" t="n">
        <v>46226.2540625</v>
      </c>
      <c r="C135" s="10" t="inlineStr">
        <is>
          <t>Нормальный вход по ключу</t>
        </is>
      </c>
      <c r="D135" s="10" t="inlineStr">
        <is>
          <t>Дверь в чистую зону</t>
        </is>
      </c>
      <c r="E135" s="10" t="inlineStr">
        <is>
          <t>22.07–23.07 ночная (ср–чт)</t>
        </is>
      </c>
      <c r="F135" s="10" t="inlineStr">
        <is>
          <t>Вернулся на рабочее место</t>
        </is>
      </c>
    </row>
    <row r="136" ht="18" customHeight="1">
      <c r="A136" s="50" t="n">
        <v>135</v>
      </c>
      <c r="B136" s="52" t="n">
        <v>46226.37755787037</v>
      </c>
      <c r="C136" s="10" t="inlineStr">
        <is>
          <t>Нормальный выход по ключу</t>
        </is>
      </c>
      <c r="D136" s="10" t="inlineStr">
        <is>
          <t>Дверь в чистую зону</t>
        </is>
      </c>
      <c r="E136" s="10" t="inlineStr">
        <is>
          <t>22.07–23.07 ночная (ср–чт)</t>
        </is>
      </c>
      <c r="F136" s="10" t="inlineStr">
        <is>
          <t>Уход с рабочего места после конца смены</t>
        </is>
      </c>
    </row>
    <row r="137" ht="18" customHeight="1">
      <c r="A137" s="50" t="n">
        <v>136</v>
      </c>
      <c r="B137" s="52" t="n">
        <v>46226.38858796296</v>
      </c>
      <c r="C137" s="10" t="inlineStr">
        <is>
          <t>Фактический выход</t>
        </is>
      </c>
      <c r="D137" s="86" t="inlineStr">
        <is>
          <t>Турникет на проходной</t>
        </is>
      </c>
      <c r="E137" s="10" t="inlineStr">
        <is>
          <t>22.07–23.07 ночная (ср–чт)</t>
        </is>
      </c>
      <c r="F137" s="10" t="inlineStr">
        <is>
          <t>Выход с территории</t>
        </is>
      </c>
    </row>
    <row r="138" ht="18" customHeight="1">
      <c r="A138" s="50" t="n">
        <v>137</v>
      </c>
      <c r="B138" s="52" t="n">
        <v>46226.85532407407</v>
      </c>
      <c r="C138" s="10" t="inlineStr">
        <is>
          <t>Фактический вход</t>
        </is>
      </c>
      <c r="D138" s="86" t="inlineStr">
        <is>
          <t>Турникет на проходной</t>
        </is>
      </c>
      <c r="E138" s="10" t="inlineStr">
        <is>
          <t>23.07–24.07 ночная (чт–пт)</t>
        </is>
      </c>
      <c r="F138" s="10" t="inlineStr">
        <is>
          <t>Вход на территорию</t>
        </is>
      </c>
    </row>
    <row r="139" ht="18" customHeight="1">
      <c r="A139" s="50" t="n">
        <v>138</v>
      </c>
      <c r="B139" s="52" t="n">
        <v>46226.87185185185</v>
      </c>
      <c r="C139" s="10" t="inlineStr">
        <is>
          <t>Нормальный вход по ключу</t>
        </is>
      </c>
      <c r="D139" s="10" t="inlineStr">
        <is>
          <t>Дверь в чистую зону</t>
        </is>
      </c>
      <c r="E139" s="10" t="inlineStr">
        <is>
          <t>23.07–24.07 ночная (чт–пт)</t>
        </is>
      </c>
      <c r="F139" s="10" t="inlineStr">
        <is>
          <t>Приход на рабочее место до начала смены</t>
        </is>
      </c>
    </row>
    <row r="140" ht="18" customHeight="1">
      <c r="A140" s="50" t="n">
        <v>139</v>
      </c>
      <c r="B140" s="52" t="n">
        <v>46226.9690625</v>
      </c>
      <c r="C140" s="10" t="inlineStr">
        <is>
          <t>Нормальный выход по ключу</t>
        </is>
      </c>
      <c r="D140" s="10" t="inlineStr">
        <is>
          <t>Дверь в чистую зону</t>
        </is>
      </c>
      <c r="E140" s="10" t="inlineStr">
        <is>
          <t>23.07–24.07 ночная (чт–пт)</t>
        </is>
      </c>
      <c r="F140" s="10" t="inlineStr">
        <is>
          <t>Вышел с рабочего места</t>
        </is>
      </c>
    </row>
    <row r="141" ht="18" customHeight="1">
      <c r="A141" s="50" t="n">
        <v>140</v>
      </c>
      <c r="B141" s="52" t="n">
        <v>46226.97085648148</v>
      </c>
      <c r="C141" s="10" t="inlineStr">
        <is>
          <t>Нормальный вход по ключу</t>
        </is>
      </c>
      <c r="D141" s="10" t="inlineStr">
        <is>
          <t>Дверь в чистую зону</t>
        </is>
      </c>
      <c r="E141" s="10" t="inlineStr">
        <is>
          <t>23.07–24.07 ночная (чт–пт)</t>
        </is>
      </c>
      <c r="F141" s="10" t="inlineStr">
        <is>
          <t>Вернулся на рабочее место</t>
        </is>
      </c>
    </row>
    <row r="142" ht="18" customHeight="1">
      <c r="A142" s="50" t="n">
        <v>141</v>
      </c>
      <c r="B142" s="52" t="n">
        <v>46226.97112268519</v>
      </c>
      <c r="C142" s="10" t="inlineStr">
        <is>
          <t>Нормальный выход по ключу</t>
        </is>
      </c>
      <c r="D142" s="10" t="inlineStr">
        <is>
          <t>Дверь в чистую зону</t>
        </is>
      </c>
      <c r="E142" s="10" t="inlineStr">
        <is>
          <t>23.07–24.07 ночная (чт–пт)</t>
        </is>
      </c>
      <c r="F142" s="10" t="inlineStr">
        <is>
          <t>Вышел с рабочего места</t>
        </is>
      </c>
    </row>
    <row r="143" ht="18" customHeight="1">
      <c r="A143" s="50" t="n">
        <v>142</v>
      </c>
      <c r="B143" s="52" t="n">
        <v>46226.97293981481</v>
      </c>
      <c r="C143" s="10" t="inlineStr">
        <is>
          <t>Нормальный вход по ключу</t>
        </is>
      </c>
      <c r="D143" s="10" t="inlineStr">
        <is>
          <t>Дверь в чистую зону</t>
        </is>
      </c>
      <c r="E143" s="10" t="inlineStr">
        <is>
          <t>23.07–24.07 ночная (чт–пт)</t>
        </is>
      </c>
      <c r="F143" s="10" t="inlineStr">
        <is>
          <t>Вернулся на рабочее место</t>
        </is>
      </c>
    </row>
    <row r="144" ht="18" customHeight="1">
      <c r="A144" s="50" t="n">
        <v>143</v>
      </c>
      <c r="B144" s="52" t="n">
        <v>46227.04200231482</v>
      </c>
      <c r="C144" s="10" t="inlineStr">
        <is>
          <t>Нормальный выход по ключу</t>
        </is>
      </c>
      <c r="D144" s="10" t="inlineStr">
        <is>
          <t>Дверь в чистую зону</t>
        </is>
      </c>
      <c r="E144" s="10" t="inlineStr">
        <is>
          <t>23.07–24.07 ночная (чт–пт)</t>
        </is>
      </c>
      <c r="F144" s="10" t="inlineStr">
        <is>
          <t>Вышел с рабочего места</t>
        </is>
      </c>
    </row>
    <row r="145" ht="18" customHeight="1">
      <c r="A145" s="50" t="n">
        <v>144</v>
      </c>
      <c r="B145" s="52" t="n">
        <v>46227.06246527778</v>
      </c>
      <c r="C145" s="10" t="inlineStr">
        <is>
          <t>Нормальный вход по ключу</t>
        </is>
      </c>
      <c r="D145" s="10" t="inlineStr">
        <is>
          <t>Дверь в чистую зону</t>
        </is>
      </c>
      <c r="E145" s="10" t="inlineStr">
        <is>
          <t>23.07–24.07 ночная (чт–пт)</t>
        </is>
      </c>
      <c r="F145" s="10" t="inlineStr">
        <is>
          <t>Вернулся на рабочее место</t>
        </is>
      </c>
    </row>
    <row r="146" ht="18" customHeight="1">
      <c r="A146" s="50" t="n">
        <v>145</v>
      </c>
      <c r="B146" s="52" t="n">
        <v>46227.38483796296</v>
      </c>
      <c r="C146" s="10" t="inlineStr">
        <is>
          <t>Нормальный выход по ключу</t>
        </is>
      </c>
      <c r="D146" s="10" t="inlineStr">
        <is>
          <t>Дверь в чистую зону</t>
        </is>
      </c>
      <c r="E146" s="10" t="inlineStr">
        <is>
          <t>23.07–24.07 ночная (чт–пт)</t>
        </is>
      </c>
      <c r="F146" s="10" t="inlineStr">
        <is>
          <t>Уход с рабочего места после конца смены</t>
        </is>
      </c>
    </row>
    <row r="147" ht="18" customHeight="1">
      <c r="A147" s="50" t="n">
        <v>146</v>
      </c>
      <c r="B147" s="52" t="n">
        <v>46227.39319444444</v>
      </c>
      <c r="C147" s="10" t="inlineStr">
        <is>
          <t>Фактический выход</t>
        </is>
      </c>
      <c r="D147" s="86" t="inlineStr">
        <is>
          <t>Турникет на проходной</t>
        </is>
      </c>
      <c r="E147" s="10" t="inlineStr">
        <is>
          <t>23.07–24.07 ночная (чт–пт)</t>
        </is>
      </c>
      <c r="F147" s="10" t="inlineStr">
        <is>
          <t>Выход с территории</t>
        </is>
      </c>
    </row>
    <row r="148" ht="18" customHeight="1">
      <c r="A148" s="50" t="n">
        <v>147</v>
      </c>
      <c r="B148" s="52" t="n">
        <v>46228.35166666667</v>
      </c>
      <c r="C148" s="10" t="inlineStr">
        <is>
          <t>Фактический вход</t>
        </is>
      </c>
      <c r="D148" s="86" t="inlineStr">
        <is>
          <t>Турникет на проходной</t>
        </is>
      </c>
      <c r="E148" s="10" t="inlineStr">
        <is>
          <t>25.07 дневная (сб)</t>
        </is>
      </c>
      <c r="F148" s="10" t="inlineStr">
        <is>
          <t>Вход на территорию</t>
        </is>
      </c>
    </row>
    <row r="149" ht="18" customHeight="1">
      <c r="A149" s="50" t="n">
        <v>148</v>
      </c>
      <c r="B149" s="52" t="n">
        <v>46228.36758101852</v>
      </c>
      <c r="C149" s="10" t="inlineStr">
        <is>
          <t>Нормальный вход по ключу</t>
        </is>
      </c>
      <c r="D149" s="10" t="inlineStr">
        <is>
          <t>Дверь в чистую зону</t>
        </is>
      </c>
      <c r="E149" s="10" t="inlineStr">
        <is>
          <t>25.07 дневная (сб)</t>
        </is>
      </c>
      <c r="F149" s="10" t="inlineStr">
        <is>
          <t>Приход на рабочее место до начала смены</t>
        </is>
      </c>
    </row>
    <row r="150" ht="18" customHeight="1">
      <c r="A150" s="50" t="n">
        <v>149</v>
      </c>
      <c r="B150" s="52" t="n">
        <v>46228.56979166667</v>
      </c>
      <c r="C150" s="10" t="inlineStr">
        <is>
          <t>Нормальный выход по ключу</t>
        </is>
      </c>
      <c r="D150" s="10" t="inlineStr">
        <is>
          <t>Дверь в чистую зону</t>
        </is>
      </c>
      <c r="E150" s="10" t="inlineStr">
        <is>
          <t>25.07 дневная (сб)</t>
        </is>
      </c>
      <c r="F150" s="10" t="inlineStr">
        <is>
          <t>Вышел с рабочего места</t>
        </is>
      </c>
    </row>
    <row r="151" ht="18" customHeight="1">
      <c r="A151" s="50" t="n">
        <v>150</v>
      </c>
      <c r="B151" s="52" t="n">
        <v>46228.58478009259</v>
      </c>
      <c r="C151" s="10" t="inlineStr">
        <is>
          <t>Нормальный вход по ключу</t>
        </is>
      </c>
      <c r="D151" s="10" t="inlineStr">
        <is>
          <t>Дверь в чистую зону</t>
        </is>
      </c>
      <c r="E151" s="10" t="inlineStr">
        <is>
          <t>25.07 дневная (сб)</t>
        </is>
      </c>
      <c r="F151" s="10" t="inlineStr">
        <is>
          <t>Вернулся на рабочее место</t>
        </is>
      </c>
    </row>
    <row r="152" ht="18" customHeight="1">
      <c r="A152" s="50" t="n">
        <v>151</v>
      </c>
      <c r="B152" s="52" t="n">
        <v>46228.78200231482</v>
      </c>
      <c r="C152" s="10" t="inlineStr">
        <is>
          <t>Нормальный выход по ключу</t>
        </is>
      </c>
      <c r="D152" s="10" t="inlineStr">
        <is>
          <t>Дверь в чистую зону</t>
        </is>
      </c>
      <c r="E152" s="10" t="inlineStr">
        <is>
          <t>25.07 дневная (сб)</t>
        </is>
      </c>
      <c r="F152" s="10" t="inlineStr">
        <is>
          <t>Вышел с рабочего места</t>
        </is>
      </c>
    </row>
    <row r="153" ht="18" customHeight="1">
      <c r="A153" s="50" t="n">
        <v>152</v>
      </c>
      <c r="B153" s="52" t="n">
        <v>46228.79471064815</v>
      </c>
      <c r="C153" s="10" t="inlineStr">
        <is>
          <t>Нормальный вход по ключу</t>
        </is>
      </c>
      <c r="D153" s="10" t="inlineStr">
        <is>
          <t>Дверь в чистую зону</t>
        </is>
      </c>
      <c r="E153" s="10" t="inlineStr">
        <is>
          <t>25.07 дневная (сб)</t>
        </is>
      </c>
      <c r="F153" s="10" t="inlineStr">
        <is>
          <t>Вернулся на рабочее место</t>
        </is>
      </c>
    </row>
    <row r="154" ht="18" customHeight="1">
      <c r="A154" s="50" t="n">
        <v>153</v>
      </c>
      <c r="B154" s="52" t="n">
        <v>46228.87503472222</v>
      </c>
      <c r="C154" s="10" t="inlineStr">
        <is>
          <t>Нормальный выход по ключу</t>
        </is>
      </c>
      <c r="D154" s="10" t="inlineStr">
        <is>
          <t>Дверь в чистую зону</t>
        </is>
      </c>
      <c r="E154" s="10" t="inlineStr">
        <is>
          <t>25.07 дневная (сб)</t>
        </is>
      </c>
      <c r="F154" s="10" t="inlineStr">
        <is>
          <t>Уход с рабочего места после конца смены</t>
        </is>
      </c>
    </row>
    <row r="155" ht="18" customHeight="1">
      <c r="A155" s="50" t="n">
        <v>154</v>
      </c>
      <c r="B155" s="52" t="n">
        <v>46228.88375</v>
      </c>
      <c r="C155" s="10" t="inlineStr">
        <is>
          <t>Фактический выход</t>
        </is>
      </c>
      <c r="D155" s="86" t="inlineStr">
        <is>
          <t>Турникет на проходной</t>
        </is>
      </c>
      <c r="E155" s="10" t="inlineStr">
        <is>
          <t>25.07 дневная (сб)</t>
        </is>
      </c>
      <c r="F155" s="10" t="inlineStr">
        <is>
          <t>Выход с территории</t>
        </is>
      </c>
    </row>
    <row r="156" ht="18" customHeight="1">
      <c r="A156" s="50" t="n">
        <v>155</v>
      </c>
      <c r="B156" s="52" t="n">
        <v>46230.35195601852</v>
      </c>
      <c r="C156" s="10" t="inlineStr">
        <is>
          <t>Фактический вход</t>
        </is>
      </c>
      <c r="D156" s="86" t="inlineStr">
        <is>
          <t>Турникет на проходной</t>
        </is>
      </c>
      <c r="E156" s="10" t="inlineStr">
        <is>
          <t>27.07 дневная (пн)</t>
        </is>
      </c>
      <c r="F156" s="10" t="inlineStr">
        <is>
          <t>Вход на территорию</t>
        </is>
      </c>
    </row>
    <row r="157" ht="18" customHeight="1">
      <c r="A157" s="50" t="n">
        <v>156</v>
      </c>
      <c r="B157" s="52" t="n">
        <v>46230.36726851852</v>
      </c>
      <c r="C157" s="10" t="inlineStr">
        <is>
          <t>Нормальный вход по ключу</t>
        </is>
      </c>
      <c r="D157" s="10" t="inlineStr">
        <is>
          <t>Дверь в чистую зону</t>
        </is>
      </c>
      <c r="E157" s="10" t="inlineStr">
        <is>
          <t>27.07 дневная (пн)</t>
        </is>
      </c>
      <c r="F157" s="10" t="inlineStr">
        <is>
          <t>Приход на рабочее место до начала смены</t>
        </is>
      </c>
    </row>
    <row r="158" ht="18" customHeight="1">
      <c r="A158" s="50" t="n">
        <v>157</v>
      </c>
      <c r="B158" s="52" t="n">
        <v>46230.50409722222</v>
      </c>
      <c r="C158" s="10" t="inlineStr">
        <is>
          <t>Нормальный выход по ключу</t>
        </is>
      </c>
      <c r="D158" s="10" t="inlineStr">
        <is>
          <t>Дверь в чистую зону</t>
        </is>
      </c>
      <c r="E158" s="10" t="inlineStr">
        <is>
          <t>27.07 дневная (пн)</t>
        </is>
      </c>
      <c r="F158" s="10" t="inlineStr">
        <is>
          <t>Вышел с рабочего места</t>
        </is>
      </c>
    </row>
    <row r="159" ht="18" customHeight="1">
      <c r="A159" s="50" t="n">
        <v>158</v>
      </c>
      <c r="B159" s="52" t="n">
        <v>46230.51755787037</v>
      </c>
      <c r="C159" s="10" t="inlineStr">
        <is>
          <t>Нормальный вход по ключу</t>
        </is>
      </c>
      <c r="D159" s="10" t="inlineStr">
        <is>
          <t>Дверь в чистую зону</t>
        </is>
      </c>
      <c r="E159" s="10" t="inlineStr">
        <is>
          <t>27.07 дневная (пн)</t>
        </is>
      </c>
      <c r="F159" s="10" t="inlineStr">
        <is>
          <t>Вернулся на рабочее место</t>
        </is>
      </c>
    </row>
    <row r="160" ht="18" customHeight="1">
      <c r="A160" s="50" t="n">
        <v>159</v>
      </c>
      <c r="B160" s="52" t="n">
        <v>46230.53768518518</v>
      </c>
      <c r="C160" s="10" t="inlineStr">
        <is>
          <t>Нормальный выход по ключу</t>
        </is>
      </c>
      <c r="D160" s="10" t="inlineStr">
        <is>
          <t>Дверь в чистую зону</t>
        </is>
      </c>
      <c r="E160" s="10" t="inlineStr">
        <is>
          <t>27.07 дневная (пн)</t>
        </is>
      </c>
      <c r="F160" s="10" t="inlineStr">
        <is>
          <t>Вышел с рабочего места</t>
        </is>
      </c>
    </row>
    <row r="161" ht="18" customHeight="1">
      <c r="A161" s="50" t="n">
        <v>160</v>
      </c>
      <c r="B161" s="52" t="n">
        <v>46230.53854166667</v>
      </c>
      <c r="C161" s="10" t="inlineStr">
        <is>
          <t>Нормальный вход по ключу</t>
        </is>
      </c>
      <c r="D161" s="10" t="inlineStr">
        <is>
          <t>Дверь в чистую зону</t>
        </is>
      </c>
      <c r="E161" s="10" t="inlineStr">
        <is>
          <t>27.07 дневная (пн)</t>
        </is>
      </c>
      <c r="F161" s="10" t="inlineStr">
        <is>
          <t>Вернулся на рабочее место</t>
        </is>
      </c>
    </row>
    <row r="162" ht="18" customHeight="1">
      <c r="A162" s="50" t="n">
        <v>161</v>
      </c>
      <c r="B162" s="52" t="n">
        <v>46230.63532407407</v>
      </c>
      <c r="C162" s="10" t="inlineStr">
        <is>
          <t>Нормальный выход по ключу</t>
        </is>
      </c>
      <c r="D162" s="10" t="inlineStr">
        <is>
          <t>Дверь в чистую зону</t>
        </is>
      </c>
      <c r="E162" s="10" t="inlineStr">
        <is>
          <t>27.07 дневная (пн)</t>
        </is>
      </c>
      <c r="F162" s="10" t="inlineStr">
        <is>
          <t>Вышел с рабочего места</t>
        </is>
      </c>
    </row>
    <row r="163" ht="18" customHeight="1">
      <c r="A163" s="50" t="n">
        <v>162</v>
      </c>
      <c r="B163" s="52" t="n">
        <v>46230.64179398148</v>
      </c>
      <c r="C163" s="10" t="inlineStr">
        <is>
          <t>Нормальный вход по ключу</t>
        </is>
      </c>
      <c r="D163" s="10" t="inlineStr">
        <is>
          <t>Дверь в чистую зону</t>
        </is>
      </c>
      <c r="E163" s="10" t="inlineStr">
        <is>
          <t>27.07 дневная (пн)</t>
        </is>
      </c>
      <c r="F163" s="10" t="inlineStr">
        <is>
          <t>Вернулся на рабочее место</t>
        </is>
      </c>
    </row>
    <row r="164" ht="18" customHeight="1">
      <c r="A164" s="50" t="n">
        <v>163</v>
      </c>
      <c r="B164" s="52" t="n">
        <v>46230.64287037037</v>
      </c>
      <c r="C164" s="10" t="inlineStr">
        <is>
          <t>Нормальный выход по ключу</t>
        </is>
      </c>
      <c r="D164" s="10" t="inlineStr">
        <is>
          <t>Дверь в чистую зону</t>
        </is>
      </c>
      <c r="E164" s="10" t="inlineStr">
        <is>
          <t>27.07 дневная (пн)</t>
        </is>
      </c>
      <c r="F164" s="10" t="inlineStr">
        <is>
          <t>Вышел с рабочего места</t>
        </is>
      </c>
    </row>
    <row r="165" ht="18" customHeight="1">
      <c r="A165" s="50" t="n">
        <v>164</v>
      </c>
      <c r="B165" s="52" t="n">
        <v>46230.65177083333</v>
      </c>
      <c r="C165" s="10" t="inlineStr">
        <is>
          <t>Нормальный вход по ключу</t>
        </is>
      </c>
      <c r="D165" s="10" t="inlineStr">
        <is>
          <t>Дверь в чистую зону</t>
        </is>
      </c>
      <c r="E165" s="10" t="inlineStr">
        <is>
          <t>27.07 дневная (пн)</t>
        </is>
      </c>
      <c r="F165" s="10" t="inlineStr">
        <is>
          <t>Вернулся на рабочее место</t>
        </is>
      </c>
    </row>
    <row r="166" ht="18" customHeight="1">
      <c r="A166" s="50" t="n">
        <v>165</v>
      </c>
      <c r="B166" s="52" t="n">
        <v>46230.83621527778</v>
      </c>
      <c r="C166" s="10" t="inlineStr">
        <is>
          <t>Нормальный выход по ключу</t>
        </is>
      </c>
      <c r="D166" s="10" t="inlineStr">
        <is>
          <t>Дверь в чистую зону</t>
        </is>
      </c>
      <c r="E166" s="10" t="inlineStr">
        <is>
          <t>27.07 дневная (пн)</t>
        </is>
      </c>
      <c r="F166" s="10" t="inlineStr">
        <is>
          <t>Вышел с рабочего места</t>
        </is>
      </c>
    </row>
    <row r="167" ht="18" customHeight="1">
      <c r="A167" s="50" t="n">
        <v>166</v>
      </c>
      <c r="B167" s="52" t="n">
        <v>46230.84503472222</v>
      </c>
      <c r="C167" s="10" t="inlineStr">
        <is>
          <t>Нормальный вход по ключу</t>
        </is>
      </c>
      <c r="D167" s="10" t="inlineStr">
        <is>
          <t>Дверь в чистую зону</t>
        </is>
      </c>
      <c r="E167" s="10" t="inlineStr">
        <is>
          <t>27.07 дневная (пн)</t>
        </is>
      </c>
      <c r="F167" s="10" t="inlineStr">
        <is>
          <t>Вернулся на рабочее место</t>
        </is>
      </c>
    </row>
    <row r="168" ht="18" customHeight="1">
      <c r="A168" s="35" t="n">
        <v>167</v>
      </c>
      <c r="B168" s="77" t="n">
        <v>46230.87012731482</v>
      </c>
      <c r="C168" s="20" t="inlineStr">
        <is>
          <t>Нормальный выход по ключу</t>
        </is>
      </c>
      <c r="D168" s="20" t="inlineStr">
        <is>
          <t>Дверь в чистую зону</t>
        </is>
      </c>
      <c r="E168" s="20" t="inlineStr">
        <is>
          <t>27.07 дневная (пн)</t>
        </is>
      </c>
      <c r="F168" s="79" t="inlineStr">
        <is>
          <t>Ранний уход с рабочего места</t>
        </is>
      </c>
    </row>
    <row r="169" ht="18" customHeight="1">
      <c r="A169" s="50" t="n">
        <v>168</v>
      </c>
      <c r="B169" s="52" t="n">
        <v>46230.88871527778</v>
      </c>
      <c r="C169" s="10" t="inlineStr">
        <is>
          <t>Фактический выход</t>
        </is>
      </c>
      <c r="D169" s="86" t="inlineStr">
        <is>
          <t>Турникет на проходной</t>
        </is>
      </c>
      <c r="E169" s="10" t="inlineStr">
        <is>
          <t>27.07 дневная (пн)</t>
        </is>
      </c>
      <c r="F169" s="10" t="inlineStr">
        <is>
          <t>Выход с территории</t>
        </is>
      </c>
    </row>
    <row r="170" ht="18" customHeight="1">
      <c r="A170" s="50" t="n">
        <v>169</v>
      </c>
      <c r="B170" s="52" t="n">
        <v>46231.35358796296</v>
      </c>
      <c r="C170" s="10" t="inlineStr">
        <is>
          <t>Фактический вход</t>
        </is>
      </c>
      <c r="D170" s="86" t="inlineStr">
        <is>
          <t>Турникет на проходной</t>
        </is>
      </c>
      <c r="E170" s="10" t="inlineStr">
        <is>
          <t>28.07 дневная (вт)</t>
        </is>
      </c>
      <c r="F170" s="10" t="inlineStr">
        <is>
          <t>Вход на территорию</t>
        </is>
      </c>
    </row>
    <row r="171" ht="18" customHeight="1">
      <c r="A171" s="50" t="n">
        <v>170</v>
      </c>
      <c r="B171" s="52" t="n">
        <v>46231.36740740741</v>
      </c>
      <c r="C171" s="10" t="inlineStr">
        <is>
          <t>Нормальный вход по ключу</t>
        </is>
      </c>
      <c r="D171" s="10" t="inlineStr">
        <is>
          <t>Дверь в чистую зону</t>
        </is>
      </c>
      <c r="E171" s="10" t="inlineStr">
        <is>
          <t>28.07 дневная (вт)</t>
        </is>
      </c>
      <c r="F171" s="10" t="inlineStr">
        <is>
          <t>Приход на рабочее место до начала смены</t>
        </is>
      </c>
    </row>
    <row r="172" ht="18" customHeight="1">
      <c r="A172" s="50" t="n">
        <v>171</v>
      </c>
      <c r="B172" s="52" t="n">
        <v>46231.41738425926</v>
      </c>
      <c r="C172" s="10" t="inlineStr">
        <is>
          <t>Нормальный выход по ключу</t>
        </is>
      </c>
      <c r="D172" s="10" t="inlineStr">
        <is>
          <t>Дверь в чистую зону</t>
        </is>
      </c>
      <c r="E172" s="10" t="inlineStr">
        <is>
          <t>28.07 дневная (вт)</t>
        </is>
      </c>
      <c r="F172" s="10" t="inlineStr">
        <is>
          <t>Вышел с рабочего места</t>
        </is>
      </c>
    </row>
    <row r="173" ht="18" customHeight="1">
      <c r="A173" s="50" t="n">
        <v>172</v>
      </c>
      <c r="B173" s="52" t="n">
        <v>46231.41833333333</v>
      </c>
      <c r="C173" s="10" t="inlineStr">
        <is>
          <t>Нормальный вход по ключу</t>
        </is>
      </c>
      <c r="D173" s="10" t="inlineStr">
        <is>
          <t>Дверь в чистую зону</t>
        </is>
      </c>
      <c r="E173" s="10" t="inlineStr">
        <is>
          <t>28.07 дневная (вт)</t>
        </is>
      </c>
      <c r="F173" s="10" t="inlineStr">
        <is>
          <t>Вернулся на рабочее место</t>
        </is>
      </c>
    </row>
    <row r="174" ht="18" customHeight="1">
      <c r="A174" s="50" t="n">
        <v>173</v>
      </c>
      <c r="B174" s="52" t="n">
        <v>46231.50877314815</v>
      </c>
      <c r="C174" s="10" t="inlineStr">
        <is>
          <t>Нормальный выход по ключу</t>
        </is>
      </c>
      <c r="D174" s="10" t="inlineStr">
        <is>
          <t>Дверь в чистую зону</t>
        </is>
      </c>
      <c r="E174" s="10" t="inlineStr">
        <is>
          <t>28.07 дневная (вт)</t>
        </is>
      </c>
      <c r="F174" s="10" t="inlineStr">
        <is>
          <t>Вышел с рабочего места</t>
        </is>
      </c>
    </row>
    <row r="175" ht="18" customHeight="1">
      <c r="A175" s="50" t="n">
        <v>174</v>
      </c>
      <c r="B175" s="52" t="n">
        <v>46231.52509259259</v>
      </c>
      <c r="C175" s="10" t="inlineStr">
        <is>
          <t>Нормальный вход по ключу</t>
        </is>
      </c>
      <c r="D175" s="10" t="inlineStr">
        <is>
          <t>Дверь в чистую зону</t>
        </is>
      </c>
      <c r="E175" s="10" t="inlineStr">
        <is>
          <t>28.07 дневная (вт)</t>
        </is>
      </c>
      <c r="F175" s="10" t="inlineStr">
        <is>
          <t>Вернулся на рабочее место</t>
        </is>
      </c>
    </row>
    <row r="176" ht="18" customHeight="1">
      <c r="A176" s="50" t="n">
        <v>175</v>
      </c>
      <c r="B176" s="52" t="n">
        <v>46231.65043981482</v>
      </c>
      <c r="C176" s="10" t="inlineStr">
        <is>
          <t>Нормальный выход по ключу</t>
        </is>
      </c>
      <c r="D176" s="10" t="inlineStr">
        <is>
          <t>Дверь в чистую зону</t>
        </is>
      </c>
      <c r="E176" s="10" t="inlineStr">
        <is>
          <t>28.07 дневная (вт)</t>
        </is>
      </c>
      <c r="F176" s="10" t="inlineStr">
        <is>
          <t>Вышел с рабочего места</t>
        </is>
      </c>
    </row>
    <row r="177" ht="18" customHeight="1">
      <c r="A177" s="50" t="n">
        <v>176</v>
      </c>
      <c r="B177" s="52" t="n">
        <v>46231.65149305556</v>
      </c>
      <c r="C177" s="10" t="inlineStr">
        <is>
          <t>Нормальный вход по ключу</t>
        </is>
      </c>
      <c r="D177" s="10" t="inlineStr">
        <is>
          <t>Дверь в чистую зону</t>
        </is>
      </c>
      <c r="E177" s="10" t="inlineStr">
        <is>
          <t>28.07 дневная (вт)</t>
        </is>
      </c>
      <c r="F177" s="10" t="inlineStr">
        <is>
          <t>Вернулся на рабочее место</t>
        </is>
      </c>
    </row>
    <row r="178" ht="18" customHeight="1">
      <c r="A178" s="50" t="n">
        <v>177</v>
      </c>
      <c r="B178" s="52" t="n">
        <v>46231.78623842593</v>
      </c>
      <c r="C178" s="10" t="inlineStr">
        <is>
          <t>Нормальный выход по ключу</t>
        </is>
      </c>
      <c r="D178" s="10" t="inlineStr">
        <is>
          <t>Дверь в чистую зону</t>
        </is>
      </c>
      <c r="E178" s="10" t="inlineStr">
        <is>
          <t>28.07 дневная (вт)</t>
        </is>
      </c>
      <c r="F178" s="10" t="inlineStr">
        <is>
          <t>Вышел с рабочего места</t>
        </is>
      </c>
    </row>
    <row r="179" ht="18" customHeight="1">
      <c r="A179" s="50" t="n">
        <v>178</v>
      </c>
      <c r="B179" s="52" t="n">
        <v>46231.79909722223</v>
      </c>
      <c r="C179" s="10" t="inlineStr">
        <is>
          <t>Нормальный вход по ключу</t>
        </is>
      </c>
      <c r="D179" s="10" t="inlineStr">
        <is>
          <t>Дверь в чистую зону</t>
        </is>
      </c>
      <c r="E179" s="10" t="inlineStr">
        <is>
          <t>28.07 дневная (вт)</t>
        </is>
      </c>
      <c r="F179" s="10" t="inlineStr">
        <is>
          <t>Вернулся на рабочее место</t>
        </is>
      </c>
    </row>
    <row r="180" ht="18" customHeight="1">
      <c r="A180" s="50" t="n">
        <v>179</v>
      </c>
      <c r="B180" s="52" t="n">
        <v>46231.87456018518</v>
      </c>
      <c r="C180" s="10" t="inlineStr">
        <is>
          <t>Нормальный выход по ключу</t>
        </is>
      </c>
      <c r="D180" s="10" t="inlineStr">
        <is>
          <t>Дверь в чистую зону</t>
        </is>
      </c>
      <c r="E180" s="10" t="inlineStr">
        <is>
          <t>28.07 дневная (вт)</t>
        </is>
      </c>
      <c r="F180" s="63" t="inlineStr">
        <is>
          <t>Уход менее чем на минуту раньше конца смены</t>
        </is>
      </c>
    </row>
    <row r="181" ht="18" customHeight="1">
      <c r="A181" s="50" t="n">
        <v>180</v>
      </c>
      <c r="B181" s="52" t="n">
        <v>46231.88344907408</v>
      </c>
      <c r="C181" s="10" t="inlineStr">
        <is>
          <t>Фактический выход</t>
        </is>
      </c>
      <c r="D181" s="86" t="inlineStr">
        <is>
          <t>Турникет на проходной</t>
        </is>
      </c>
      <c r="E181" s="10" t="inlineStr">
        <is>
          <t>28.07 дневная (вт)</t>
        </is>
      </c>
      <c r="F181" s="10" t="inlineStr">
        <is>
          <t>Выход с территории</t>
        </is>
      </c>
    </row>
    <row r="182" ht="18" customHeight="1">
      <c r="A182" s="50" t="n">
        <v>181</v>
      </c>
      <c r="B182" s="52" t="n">
        <v>46232.85123842592</v>
      </c>
      <c r="C182" s="10" t="inlineStr">
        <is>
          <t>Фактический вход</t>
        </is>
      </c>
      <c r="D182" s="86" t="inlineStr">
        <is>
          <t>Турникет на проходной</t>
        </is>
      </c>
      <c r="E182" s="10" t="inlineStr">
        <is>
          <t>29.07–30.07 ночная (ср–чт)</t>
        </is>
      </c>
      <c r="F182" s="10" t="inlineStr">
        <is>
          <t>Вход на территорию</t>
        </is>
      </c>
    </row>
    <row r="183" ht="18" customHeight="1">
      <c r="A183" s="50" t="n">
        <v>182</v>
      </c>
      <c r="B183" s="52" t="n">
        <v>46232.86263888889</v>
      </c>
      <c r="C183" s="10" t="inlineStr">
        <is>
          <t>Нормальный вход по ключу</t>
        </is>
      </c>
      <c r="D183" s="10" t="inlineStr">
        <is>
          <t>Дверь в чистую зону</t>
        </is>
      </c>
      <c r="E183" s="10" t="inlineStr">
        <is>
          <t>29.07–30.07 ночная (ср–чт)</t>
        </is>
      </c>
      <c r="F183" s="10" t="inlineStr">
        <is>
          <t>Приход на рабочее место до начала смены</t>
        </is>
      </c>
    </row>
    <row r="184" ht="18" customHeight="1">
      <c r="A184" s="50" t="n">
        <v>183</v>
      </c>
      <c r="B184" s="52" t="n">
        <v>46233.04100694445</v>
      </c>
      <c r="C184" s="10" t="inlineStr">
        <is>
          <t>Нормальный выход по ключу</t>
        </is>
      </c>
      <c r="D184" s="10" t="inlineStr">
        <is>
          <t>Дверь в чистую зону</t>
        </is>
      </c>
      <c r="E184" s="10" t="inlineStr">
        <is>
          <t>29.07–30.07 ночная (ср–чт)</t>
        </is>
      </c>
      <c r="F184" s="10" t="inlineStr">
        <is>
          <t>Вышел с рабочего места</t>
        </is>
      </c>
    </row>
    <row r="185" ht="18" customHeight="1">
      <c r="A185" s="50" t="n">
        <v>184</v>
      </c>
      <c r="B185" s="52" t="n">
        <v>46233.07568287037</v>
      </c>
      <c r="C185" s="10" t="inlineStr">
        <is>
          <t>Нормальный вход по ключу</t>
        </is>
      </c>
      <c r="D185" s="10" t="inlineStr">
        <is>
          <t>Дверь в чистую зону</t>
        </is>
      </c>
      <c r="E185" s="10" t="inlineStr">
        <is>
          <t>29.07–30.07 ночная (ср–чт)</t>
        </is>
      </c>
      <c r="F185" s="10" t="inlineStr">
        <is>
          <t>Вернулся на рабочее место</t>
        </is>
      </c>
    </row>
    <row r="186" ht="18" customHeight="1">
      <c r="A186" s="50" t="n">
        <v>185</v>
      </c>
      <c r="B186" s="52" t="n">
        <v>46233.19704861111</v>
      </c>
      <c r="C186" s="10" t="inlineStr">
        <is>
          <t>Нормальный выход по ключу</t>
        </is>
      </c>
      <c r="D186" s="10" t="inlineStr">
        <is>
          <t>Дверь в чистую зону</t>
        </is>
      </c>
      <c r="E186" s="10" t="inlineStr">
        <is>
          <t>29.07–30.07 ночная (ср–чт)</t>
        </is>
      </c>
      <c r="F186" s="10" t="inlineStr">
        <is>
          <t>Вышел с рабочего места</t>
        </is>
      </c>
    </row>
    <row r="187" ht="18" customHeight="1">
      <c r="A187" s="50" t="n">
        <v>186</v>
      </c>
      <c r="B187" s="52" t="n">
        <v>46233.19876157407</v>
      </c>
      <c r="C187" s="10" t="inlineStr">
        <is>
          <t>Нормальный вход по ключу</t>
        </is>
      </c>
      <c r="D187" s="10" t="inlineStr">
        <is>
          <t>Дверь в чистую зону</t>
        </is>
      </c>
      <c r="E187" s="10" t="inlineStr">
        <is>
          <t>29.07–30.07 ночная (ср–чт)</t>
        </is>
      </c>
      <c r="F187" s="10" t="inlineStr">
        <is>
          <t>Вернулся на рабочее место</t>
        </is>
      </c>
    </row>
    <row r="188" ht="18" customHeight="1">
      <c r="A188" s="50" t="n">
        <v>187</v>
      </c>
      <c r="B188" s="52" t="n">
        <v>46233.37594907408</v>
      </c>
      <c r="C188" s="10" t="inlineStr">
        <is>
          <t>Нормальный выход по ключу</t>
        </is>
      </c>
      <c r="D188" s="10" t="inlineStr">
        <is>
          <t>Дверь в чистую зону</t>
        </is>
      </c>
      <c r="E188" s="10" t="inlineStr">
        <is>
          <t>29.07–30.07 ночная (ср–чт)</t>
        </is>
      </c>
      <c r="F188" s="10" t="inlineStr">
        <is>
          <t>Уход с рабочего места после конца смены</t>
        </is>
      </c>
    </row>
    <row r="189" ht="18" customHeight="1">
      <c r="A189" s="50" t="n">
        <v>188</v>
      </c>
      <c r="B189" s="52" t="n">
        <v>46233.39046296296</v>
      </c>
      <c r="C189" s="10" t="inlineStr">
        <is>
          <t>Фактический выход</t>
        </is>
      </c>
      <c r="D189" s="86" t="inlineStr">
        <is>
          <t>Турникет на проходной</t>
        </is>
      </c>
      <c r="E189" s="10" t="inlineStr">
        <is>
          <t>29.07–30.07 ночная (ср–чт)</t>
        </is>
      </c>
      <c r="F189" s="10" t="inlineStr">
        <is>
          <t>Выход с территории</t>
        </is>
      </c>
    </row>
    <row r="190" ht="18" customHeight="1">
      <c r="A190" s="50" t="n">
        <v>189</v>
      </c>
      <c r="B190" s="52" t="n">
        <v>46233.85100694445</v>
      </c>
      <c r="C190" s="10" t="inlineStr">
        <is>
          <t>Фактический вход</t>
        </is>
      </c>
      <c r="D190" s="86" t="inlineStr">
        <is>
          <t>Турникет на проходной</t>
        </is>
      </c>
      <c r="E190" s="10" t="inlineStr">
        <is>
          <t>30.07–31.07 ночная (чт–пт)</t>
        </is>
      </c>
      <c r="F190" s="10" t="inlineStr">
        <is>
          <t>Вход на территорию</t>
        </is>
      </c>
    </row>
    <row r="191" ht="18" customHeight="1">
      <c r="A191" s="50" t="n">
        <v>190</v>
      </c>
      <c r="B191" s="52" t="n">
        <v>46233.86853009259</v>
      </c>
      <c r="C191" s="10" t="inlineStr">
        <is>
          <t>Нормальный вход по ключу</t>
        </is>
      </c>
      <c r="D191" s="10" t="inlineStr">
        <is>
          <t>Дверь в чистую зону</t>
        </is>
      </c>
      <c r="E191" s="10" t="inlineStr">
        <is>
          <t>30.07–31.07 ночная (чт–пт)</t>
        </is>
      </c>
      <c r="F191" s="10" t="inlineStr">
        <is>
          <t>Приход на рабочее место до начала смены</t>
        </is>
      </c>
    </row>
    <row r="192" ht="18" customHeight="1">
      <c r="A192" s="50" t="n">
        <v>191</v>
      </c>
      <c r="B192" s="52" t="n">
        <v>46234.04280092593</v>
      </c>
      <c r="C192" s="10" t="inlineStr">
        <is>
          <t>Нормальный выход по ключу</t>
        </is>
      </c>
      <c r="D192" s="10" t="inlineStr">
        <is>
          <t>Дверь в чистую зону</t>
        </is>
      </c>
      <c r="E192" s="10" t="inlineStr">
        <is>
          <t>30.07–31.07 ночная (чт–пт)</t>
        </is>
      </c>
      <c r="F192" s="10" t="inlineStr">
        <is>
          <t>Вышел с рабочего места</t>
        </is>
      </c>
    </row>
    <row r="193" ht="18" customHeight="1">
      <c r="A193" s="50" t="n">
        <v>192</v>
      </c>
      <c r="B193" s="52" t="n">
        <v>46234.06965277778</v>
      </c>
      <c r="C193" s="10" t="inlineStr">
        <is>
          <t>Нормальный вход по ключу</t>
        </is>
      </c>
      <c r="D193" s="10" t="inlineStr">
        <is>
          <t>Дверь в чистую зону</t>
        </is>
      </c>
      <c r="E193" s="10" t="inlineStr">
        <is>
          <t>30.07–31.07 ночная (чт–пт)</t>
        </is>
      </c>
      <c r="F193" s="10" t="inlineStr">
        <is>
          <t>Вернулся на рабочее место</t>
        </is>
      </c>
    </row>
    <row r="194" ht="18" customHeight="1">
      <c r="A194" s="50" t="n">
        <v>193</v>
      </c>
      <c r="B194" s="52" t="n">
        <v>46234.27196759259</v>
      </c>
      <c r="C194" s="10" t="inlineStr">
        <is>
          <t>Нормальный выход по ключу</t>
        </is>
      </c>
      <c r="D194" s="10" t="inlineStr">
        <is>
          <t>Дверь в чистую зону</t>
        </is>
      </c>
      <c r="E194" s="10" t="inlineStr">
        <is>
          <t>30.07–31.07 ночная (чт–пт)</t>
        </is>
      </c>
      <c r="F194" s="10" t="inlineStr">
        <is>
          <t>Вышел с рабочего места</t>
        </is>
      </c>
    </row>
    <row r="195" ht="18" customHeight="1">
      <c r="A195" s="50" t="n">
        <v>194</v>
      </c>
      <c r="B195" s="52" t="n">
        <v>46234.29797453704</v>
      </c>
      <c r="C195" s="10" t="inlineStr">
        <is>
          <t>Нормальный вход по ключу</t>
        </is>
      </c>
      <c r="D195" s="10" t="inlineStr">
        <is>
          <t>Дверь в чистую зону</t>
        </is>
      </c>
      <c r="E195" s="10" t="inlineStr">
        <is>
          <t>30.07–31.07 ночная (чт–пт)</t>
        </is>
      </c>
      <c r="F195" s="10" t="inlineStr">
        <is>
          <t>Вернулся на рабочее место</t>
        </is>
      </c>
    </row>
    <row r="196" ht="18" customHeight="1">
      <c r="A196" s="35" t="n">
        <v>195</v>
      </c>
      <c r="B196" s="77" t="n">
        <v>46234.3690162037</v>
      </c>
      <c r="C196" s="20" t="inlineStr">
        <is>
          <t>Нормальный выход по ключу</t>
        </is>
      </c>
      <c r="D196" s="20" t="inlineStr">
        <is>
          <t>Дверь в чистую зону</t>
        </is>
      </c>
      <c r="E196" s="20" t="inlineStr">
        <is>
          <t>30.07–31.07 ночная (чт–пт)</t>
        </is>
      </c>
      <c r="F196" s="79" t="inlineStr">
        <is>
          <t>Ранний уход с рабочего места</t>
        </is>
      </c>
    </row>
    <row r="197" ht="18" customHeight="1">
      <c r="A197" s="50" t="n">
        <v>196</v>
      </c>
      <c r="B197" s="52" t="n">
        <v>46234.3796875</v>
      </c>
      <c r="C197" s="10" t="inlineStr">
        <is>
          <t>Фактический выход</t>
        </is>
      </c>
      <c r="D197" s="86" t="inlineStr">
        <is>
          <t>Турникет на проходной</t>
        </is>
      </c>
      <c r="E197" s="10" t="inlineStr">
        <is>
          <t>30.07–31.07 ночная (чт–пт)</t>
        </is>
      </c>
      <c r="F197" s="10" t="inlineStr">
        <is>
          <t>Выход с территории</t>
        </is>
      </c>
    </row>
    <row r="198" ht="18" customHeight="1">
      <c r="A198" s="50" t="n">
        <v>197</v>
      </c>
      <c r="B198" s="52" t="n">
        <v>46234.85603009259</v>
      </c>
      <c r="C198" s="10" t="inlineStr">
        <is>
          <t>Фактический вход</t>
        </is>
      </c>
      <c r="D198" s="86" t="inlineStr">
        <is>
          <t>Турникет на проходной</t>
        </is>
      </c>
      <c r="E198" s="10" t="inlineStr">
        <is>
          <t>31.07–01.08 ночная (пт–сб)</t>
        </is>
      </c>
      <c r="F198" s="10" t="inlineStr">
        <is>
          <t>Вход на территорию</t>
        </is>
      </c>
    </row>
    <row r="199" ht="18" customHeight="1">
      <c r="A199" s="50" t="n">
        <v>198</v>
      </c>
      <c r="B199" s="52" t="n">
        <v>46234.87231481481</v>
      </c>
      <c r="C199" s="10" t="inlineStr">
        <is>
          <t>Нормальный вход по ключу</t>
        </is>
      </c>
      <c r="D199" s="10" t="inlineStr">
        <is>
          <t>Дверь в чистую зону</t>
        </is>
      </c>
      <c r="E199" s="10" t="inlineStr">
        <is>
          <t>31.07–01.08 ночная (пт–сб)</t>
        </is>
      </c>
      <c r="F199" s="10" t="inlineStr">
        <is>
          <t>Приход на рабочее место до начала смены</t>
        </is>
      </c>
    </row>
    <row r="200" ht="18" customHeight="1">
      <c r="A200" s="50" t="n">
        <v>199</v>
      </c>
      <c r="B200" s="52" t="n">
        <v>46234.97548611111</v>
      </c>
      <c r="C200" s="10" t="inlineStr">
        <is>
          <t>Нормальный выход по ключу</t>
        </is>
      </c>
      <c r="D200" s="10" t="inlineStr">
        <is>
          <t>Дверь в чистую зону</t>
        </is>
      </c>
      <c r="E200" s="10" t="inlineStr">
        <is>
          <t>31.07–01.08 ночная (пт–сб)</t>
        </is>
      </c>
      <c r="F200" s="10" t="inlineStr">
        <is>
          <t>Вышел с рабочего места</t>
        </is>
      </c>
    </row>
    <row r="201" ht="18" customHeight="1">
      <c r="A201" s="50" t="n">
        <v>200</v>
      </c>
      <c r="B201" s="52" t="n">
        <v>46234.98836805556</v>
      </c>
      <c r="C201" s="10" t="inlineStr">
        <is>
          <t>Нормальный вход по ключу</t>
        </is>
      </c>
      <c r="D201" s="10" t="inlineStr">
        <is>
          <t>Дверь в чистую зону</t>
        </is>
      </c>
      <c r="E201" s="10" t="inlineStr">
        <is>
          <t>31.07–01.08 ночная (пт–сб)</t>
        </is>
      </c>
      <c r="F201" s="10" t="inlineStr">
        <is>
          <t>Вернулся на рабочее место</t>
        </is>
      </c>
    </row>
    <row r="202" ht="18" customHeight="1">
      <c r="A202" s="50" t="n">
        <v>201</v>
      </c>
      <c r="B202" s="52" t="n">
        <v>46235.06190972222</v>
      </c>
      <c r="C202" s="10" t="inlineStr">
        <is>
          <t>Нормальный выход по ключу</t>
        </is>
      </c>
      <c r="D202" s="10" t="inlineStr">
        <is>
          <t>Дверь в чистую зону</t>
        </is>
      </c>
      <c r="E202" s="10" t="inlineStr">
        <is>
          <t>31.07–01.08 ночная (пт–сб)</t>
        </is>
      </c>
      <c r="F202" s="10" t="inlineStr">
        <is>
          <t>Вышел с рабочего места</t>
        </is>
      </c>
    </row>
    <row r="203" ht="18" customHeight="1">
      <c r="A203" s="50" t="n">
        <v>202</v>
      </c>
      <c r="B203" s="52" t="n">
        <v>46235.09224537037</v>
      </c>
      <c r="C203" s="10" t="inlineStr">
        <is>
          <t>Нормальный вход по ключу</t>
        </is>
      </c>
      <c r="D203" s="10" t="inlineStr">
        <is>
          <t>Дверь в чистую зону</t>
        </is>
      </c>
      <c r="E203" s="10" t="inlineStr">
        <is>
          <t>31.07–01.08 ночная (пт–сб)</t>
        </is>
      </c>
      <c r="F203" s="10" t="inlineStr">
        <is>
          <t>Вернулся на рабочее место</t>
        </is>
      </c>
    </row>
    <row r="204" ht="18" customHeight="1">
      <c r="A204" s="50" t="n">
        <v>203</v>
      </c>
      <c r="B204" s="52" t="n">
        <v>46235.26265046297</v>
      </c>
      <c r="C204" s="10" t="inlineStr">
        <is>
          <t>Нормальный выход по ключу</t>
        </is>
      </c>
      <c r="D204" s="10" t="inlineStr">
        <is>
          <t>Дверь в чистую зону</t>
        </is>
      </c>
      <c r="E204" s="10" t="inlineStr">
        <is>
          <t>31.07–01.08 ночная (пт–сб)</t>
        </is>
      </c>
      <c r="F204" s="10" t="inlineStr">
        <is>
          <t>Вышел с рабочего места</t>
        </is>
      </c>
    </row>
    <row r="205" ht="18" customHeight="1">
      <c r="A205" s="50" t="n">
        <v>204</v>
      </c>
      <c r="B205" s="52" t="n">
        <v>46235.27194444444</v>
      </c>
      <c r="C205" s="10" t="inlineStr">
        <is>
          <t>Нормальный вход по ключу</t>
        </is>
      </c>
      <c r="D205" s="10" t="inlineStr">
        <is>
          <t>Дверь в чистую зону</t>
        </is>
      </c>
      <c r="E205" s="10" t="inlineStr">
        <is>
          <t>31.07–01.08 ночная (пт–сб)</t>
        </is>
      </c>
      <c r="F205" s="10" t="inlineStr">
        <is>
          <t>Вернулся на рабочее место</t>
        </is>
      </c>
    </row>
    <row r="206" ht="18" customHeight="1">
      <c r="A206" s="35" t="n">
        <v>205</v>
      </c>
      <c r="B206" s="77" t="n">
        <v>46235.36846064815</v>
      </c>
      <c r="C206" s="20" t="inlineStr">
        <is>
          <t>Нормальный выход по ключу</t>
        </is>
      </c>
      <c r="D206" s="20" t="inlineStr">
        <is>
          <t>Дверь в чистую зону</t>
        </is>
      </c>
      <c r="E206" s="20" t="inlineStr">
        <is>
          <t>31.07–01.08 ночная (пт–сб)</t>
        </is>
      </c>
      <c r="F206" s="79" t="inlineStr">
        <is>
          <t>Ранний уход с рабочего места</t>
        </is>
      </c>
    </row>
    <row r="207" ht="18" customHeight="1">
      <c r="A207" s="50" t="n">
        <v>206</v>
      </c>
      <c r="B207" s="52" t="n">
        <v>46235.37918981481</v>
      </c>
      <c r="C207" s="10" t="inlineStr">
        <is>
          <t>Фактический выход</t>
        </is>
      </c>
      <c r="D207" s="86" t="inlineStr">
        <is>
          <t>Турникет на проходной</t>
        </is>
      </c>
      <c r="E207" s="10" t="inlineStr">
        <is>
          <t>31.07–01.08 ночная (пт–сб)</t>
        </is>
      </c>
      <c r="F207" s="10" t="inlineStr">
        <is>
          <t>Выход с территории</t>
        </is>
      </c>
    </row>
    <row r="208" ht="18" customHeight="1">
      <c r="A208" s="50" t="n">
        <v>207</v>
      </c>
      <c r="B208" s="52" t="n">
        <v>46254.35322916666</v>
      </c>
      <c r="C208" s="10" t="inlineStr">
        <is>
          <t>Фактический вход</t>
        </is>
      </c>
      <c r="D208" s="86" t="inlineStr">
        <is>
          <t>Турникет на проходной</t>
        </is>
      </c>
      <c r="E208" s="10" t="inlineStr">
        <is>
          <t>20.08 дневная (чт)</t>
        </is>
      </c>
      <c r="F208" s="10" t="inlineStr">
        <is>
          <t>Вход на территорию</t>
        </is>
      </c>
    </row>
    <row r="209" ht="18" customHeight="1">
      <c r="A209" s="50" t="n">
        <v>208</v>
      </c>
      <c r="B209" s="52" t="n">
        <v>46254.36984953703</v>
      </c>
      <c r="C209" s="10" t="inlineStr">
        <is>
          <t>Нормальный вход по ключу</t>
        </is>
      </c>
      <c r="D209" s="10" t="inlineStr">
        <is>
          <t>Дверь в чистую зону</t>
        </is>
      </c>
      <c r="E209" s="10" t="inlineStr">
        <is>
          <t>20.08 дневная (чт)</t>
        </is>
      </c>
      <c r="F209" s="10" t="inlineStr">
        <is>
          <t>Приход на рабочее место до начала смены</t>
        </is>
      </c>
    </row>
    <row r="210" ht="18" customHeight="1">
      <c r="A210" s="50" t="n">
        <v>209</v>
      </c>
      <c r="B210" s="52" t="n">
        <v>46254.4609837963</v>
      </c>
      <c r="C210" s="10" t="inlineStr">
        <is>
          <t>Нормальный выход по ключу</t>
        </is>
      </c>
      <c r="D210" s="10" t="inlineStr">
        <is>
          <t>Дверь в чистую зону</t>
        </is>
      </c>
      <c r="E210" s="10" t="inlineStr">
        <is>
          <t>20.08 дневная (чт)</t>
        </is>
      </c>
      <c r="F210" s="10" t="inlineStr">
        <is>
          <t>Вышел с рабочего места</t>
        </is>
      </c>
    </row>
    <row r="211" ht="18" customHeight="1">
      <c r="A211" s="50" t="n">
        <v>210</v>
      </c>
      <c r="B211" s="52" t="n">
        <v>46254.50539351852</v>
      </c>
      <c r="C211" s="10" t="inlineStr">
        <is>
          <t>Нормальный вход по ключу</t>
        </is>
      </c>
      <c r="D211" s="10" t="inlineStr">
        <is>
          <t>Дверь в чистую зону</t>
        </is>
      </c>
      <c r="E211" s="10" t="inlineStr">
        <is>
          <t>20.08 дневная (чт)</t>
        </is>
      </c>
      <c r="F211" s="10" t="inlineStr">
        <is>
          <t>Вернулся на рабочее место</t>
        </is>
      </c>
    </row>
    <row r="212" ht="18" customHeight="1">
      <c r="A212" s="50" t="n">
        <v>211</v>
      </c>
      <c r="B212" s="52" t="n">
        <v>46254.65322916667</v>
      </c>
      <c r="C212" s="10" t="inlineStr">
        <is>
          <t>Нормальный выход по ключу</t>
        </is>
      </c>
      <c r="D212" s="10" t="inlineStr">
        <is>
          <t>Дверь в чистую зону</t>
        </is>
      </c>
      <c r="E212" s="10" t="inlineStr">
        <is>
          <t>20.08 дневная (чт)</t>
        </is>
      </c>
      <c r="F212" s="10" t="inlineStr">
        <is>
          <t>Вышел с рабочего места</t>
        </is>
      </c>
    </row>
    <row r="213" ht="18" customHeight="1">
      <c r="A213" s="50" t="n">
        <v>212</v>
      </c>
      <c r="B213" s="52" t="n">
        <v>46254.65697916667</v>
      </c>
      <c r="C213" s="10" t="inlineStr">
        <is>
          <t>Нормальный вход по ключу</t>
        </is>
      </c>
      <c r="D213" s="10" t="inlineStr">
        <is>
          <t>Дверь в чистую зону</t>
        </is>
      </c>
      <c r="E213" s="10" t="inlineStr">
        <is>
          <t>20.08 дневная (чт)</t>
        </is>
      </c>
      <c r="F213" s="10" t="inlineStr">
        <is>
          <t>Вернулся на рабочее место</t>
        </is>
      </c>
    </row>
    <row r="214" ht="18" customHeight="1">
      <c r="A214" s="50" t="n">
        <v>213</v>
      </c>
      <c r="B214" s="52" t="n">
        <v>46254.78253472222</v>
      </c>
      <c r="C214" s="10" t="inlineStr">
        <is>
          <t>Нормальный выход по ключу</t>
        </is>
      </c>
      <c r="D214" s="10" t="inlineStr">
        <is>
          <t>Дверь в чистую зону</t>
        </is>
      </c>
      <c r="E214" s="10" t="inlineStr">
        <is>
          <t>20.08 дневная (чт)</t>
        </is>
      </c>
      <c r="F214" s="10" t="inlineStr">
        <is>
          <t>Вышел с рабочего места</t>
        </is>
      </c>
    </row>
    <row r="215" ht="18" customHeight="1">
      <c r="A215" s="50" t="n">
        <v>214</v>
      </c>
      <c r="B215" s="52" t="n">
        <v>46254.79684027778</v>
      </c>
      <c r="C215" s="10" t="inlineStr">
        <is>
          <t>Нормальный вход по ключу</t>
        </is>
      </c>
      <c r="D215" s="10" t="inlineStr">
        <is>
          <t>Дверь в чистую зону</t>
        </is>
      </c>
      <c r="E215" s="10" t="inlineStr">
        <is>
          <t>20.08 дневная (чт)</t>
        </is>
      </c>
      <c r="F215" s="10" t="inlineStr">
        <is>
          <t>Вернулся на рабочее место</t>
        </is>
      </c>
    </row>
    <row r="216" ht="18" customHeight="1">
      <c r="A216" s="35" t="n">
        <v>215</v>
      </c>
      <c r="B216" s="77" t="n">
        <v>46254.86581018518</v>
      </c>
      <c r="C216" s="20" t="inlineStr">
        <is>
          <t>Нормальный выход по ключу</t>
        </is>
      </c>
      <c r="D216" s="20" t="inlineStr">
        <is>
          <t>Дверь в чистую зону</t>
        </is>
      </c>
      <c r="E216" s="20" t="inlineStr">
        <is>
          <t>20.08 дневная (чт)</t>
        </is>
      </c>
      <c r="F216" s="79" t="inlineStr">
        <is>
          <t>Ранний уход с рабочего места</t>
        </is>
      </c>
    </row>
    <row r="217" ht="18" customHeight="1">
      <c r="A217" s="50" t="n">
        <v>216</v>
      </c>
      <c r="B217" s="52" t="n">
        <v>46254.87574074074</v>
      </c>
      <c r="C217" s="10" t="inlineStr">
        <is>
          <t>Фактический выход</t>
        </is>
      </c>
      <c r="D217" s="86" t="inlineStr">
        <is>
          <t>Турникет на проходной</t>
        </is>
      </c>
      <c r="E217" s="10" t="inlineStr">
        <is>
          <t>20.08 дневная (чт)</t>
        </is>
      </c>
      <c r="F217" s="10" t="inlineStr">
        <is>
          <t>Выход с территории</t>
        </is>
      </c>
    </row>
    <row r="218" ht="18" customHeight="1">
      <c r="A218" s="50" t="n">
        <v>217</v>
      </c>
      <c r="B218" s="52" t="n">
        <v>46255.35085648148</v>
      </c>
      <c r="C218" s="10" t="inlineStr">
        <is>
          <t>Фактический вход</t>
        </is>
      </c>
      <c r="D218" s="86" t="inlineStr">
        <is>
          <t>Турникет на проходной</t>
        </is>
      </c>
      <c r="E218" s="10" t="inlineStr">
        <is>
          <t>21.08 дневная (пт)</t>
        </is>
      </c>
      <c r="F218" s="10" t="inlineStr">
        <is>
          <t>Вход на территорию</t>
        </is>
      </c>
    </row>
    <row r="219" ht="18" customHeight="1">
      <c r="A219" s="50" t="n">
        <v>218</v>
      </c>
      <c r="B219" s="52" t="n">
        <v>46255.36524305555</v>
      </c>
      <c r="C219" s="10" t="inlineStr">
        <is>
          <t>Нормальный вход по ключу</t>
        </is>
      </c>
      <c r="D219" s="10" t="inlineStr">
        <is>
          <t>Дверь в чистую зону</t>
        </is>
      </c>
      <c r="E219" s="10" t="inlineStr">
        <is>
          <t>21.08 дневная (пт)</t>
        </is>
      </c>
      <c r="F219" s="10" t="inlineStr">
        <is>
          <t>Приход на рабочее место до начала смены</t>
        </is>
      </c>
    </row>
    <row r="220" ht="18" customHeight="1">
      <c r="A220" s="50" t="n">
        <v>219</v>
      </c>
      <c r="B220" s="52" t="n">
        <v>46255.47534722222</v>
      </c>
      <c r="C220" s="10" t="inlineStr">
        <is>
          <t>Нормальный выход по ключу</t>
        </is>
      </c>
      <c r="D220" s="10" t="inlineStr">
        <is>
          <t>Дверь в чистую зону</t>
        </is>
      </c>
      <c r="E220" s="10" t="inlineStr">
        <is>
          <t>21.08 дневная (пт)</t>
        </is>
      </c>
      <c r="F220" s="10" t="inlineStr">
        <is>
          <t>Вышел с рабочего места</t>
        </is>
      </c>
    </row>
    <row r="221" ht="18" customHeight="1">
      <c r="A221" s="50" t="n">
        <v>220</v>
      </c>
      <c r="B221" s="52" t="n">
        <v>46255.51167824074</v>
      </c>
      <c r="C221" s="10" t="inlineStr">
        <is>
          <t>Нормальный вход по ключу</t>
        </is>
      </c>
      <c r="D221" s="10" t="inlineStr">
        <is>
          <t>Дверь в чистую зону</t>
        </is>
      </c>
      <c r="E221" s="10" t="inlineStr">
        <is>
          <t>21.08 дневная (пт)</t>
        </is>
      </c>
      <c r="F221" s="10" t="inlineStr">
        <is>
          <t>Вернулся на рабочее место</t>
        </is>
      </c>
    </row>
    <row r="222" ht="18" customHeight="1">
      <c r="A222" s="50" t="n">
        <v>221</v>
      </c>
      <c r="B222" s="52" t="n">
        <v>46255.68358796297</v>
      </c>
      <c r="C222" s="10" t="inlineStr">
        <is>
          <t>Нормальный выход по ключу</t>
        </is>
      </c>
      <c r="D222" s="10" t="inlineStr">
        <is>
          <t>Дверь в чистую зону</t>
        </is>
      </c>
      <c r="E222" s="10" t="inlineStr">
        <is>
          <t>21.08 дневная (пт)</t>
        </is>
      </c>
      <c r="F222" s="10" t="inlineStr">
        <is>
          <t>Вышел с рабочего места</t>
        </is>
      </c>
    </row>
    <row r="223" ht="18" customHeight="1">
      <c r="A223" s="50" t="n">
        <v>222</v>
      </c>
      <c r="B223" s="52" t="n">
        <v>46255.68672453704</v>
      </c>
      <c r="C223" s="10" t="inlineStr">
        <is>
          <t>Нормальный вход по ключу</t>
        </is>
      </c>
      <c r="D223" s="10" t="inlineStr">
        <is>
          <t>Дверь в чистую зону</t>
        </is>
      </c>
      <c r="E223" s="10" t="inlineStr">
        <is>
          <t>21.08 дневная (пт)</t>
        </is>
      </c>
      <c r="F223" s="10" t="inlineStr">
        <is>
          <t>Вернулся на рабочее место</t>
        </is>
      </c>
    </row>
    <row r="224" ht="18" customHeight="1">
      <c r="A224" s="50" t="n">
        <v>223</v>
      </c>
      <c r="B224" s="52" t="n">
        <v>46255.79756944445</v>
      </c>
      <c r="C224" s="10" t="inlineStr">
        <is>
          <t>Нормальный выход по ключу</t>
        </is>
      </c>
      <c r="D224" s="10" t="inlineStr">
        <is>
          <t>Дверь в чистую зону</t>
        </is>
      </c>
      <c r="E224" s="10" t="inlineStr">
        <is>
          <t>21.08 дневная (пт)</t>
        </is>
      </c>
      <c r="F224" s="10" t="inlineStr">
        <is>
          <t>Вышел с рабочего места</t>
        </is>
      </c>
    </row>
    <row r="225" ht="18" customHeight="1">
      <c r="A225" s="50" t="n">
        <v>224</v>
      </c>
      <c r="B225" s="52" t="n">
        <v>46255.8249537037</v>
      </c>
      <c r="C225" s="10" t="inlineStr">
        <is>
          <t>Нормальный вход по ключу</t>
        </is>
      </c>
      <c r="D225" s="10" t="inlineStr">
        <is>
          <t>Дверь в чистую зону</t>
        </is>
      </c>
      <c r="E225" s="10" t="inlineStr">
        <is>
          <t>21.08 дневная (пт)</t>
        </is>
      </c>
      <c r="F225" s="10" t="inlineStr">
        <is>
          <t>Вернулся на рабочее место</t>
        </is>
      </c>
    </row>
    <row r="226" ht="18" customHeight="1">
      <c r="A226" s="35" t="n">
        <v>225</v>
      </c>
      <c r="B226" s="77" t="n">
        <v>46255.87177083334</v>
      </c>
      <c r="C226" s="20" t="inlineStr">
        <is>
          <t>Нормальный выход по ключу</t>
        </is>
      </c>
      <c r="D226" s="20" t="inlineStr">
        <is>
          <t>Дверь в чистую зону</t>
        </is>
      </c>
      <c r="E226" s="20" t="inlineStr">
        <is>
          <t>21.08 дневная (пт)</t>
        </is>
      </c>
      <c r="F226" s="79" t="inlineStr">
        <is>
          <t>Ранний уход с рабочего места</t>
        </is>
      </c>
    </row>
    <row r="227" ht="18" customHeight="1">
      <c r="A227" s="50" t="n">
        <v>226</v>
      </c>
      <c r="B227" s="52" t="n">
        <v>46255.88052083334</v>
      </c>
      <c r="C227" s="10" t="inlineStr">
        <is>
          <t>Фактический выход</t>
        </is>
      </c>
      <c r="D227" s="86" t="inlineStr">
        <is>
          <t>Турникет на проходной</t>
        </is>
      </c>
      <c r="E227" s="10" t="inlineStr">
        <is>
          <t>21.08 дневная (пт)</t>
        </is>
      </c>
      <c r="F227" s="10" t="inlineStr">
        <is>
          <t>Выход с территории</t>
        </is>
      </c>
    </row>
    <row r="228" ht="18" customHeight="1">
      <c r="A228" s="50" t="n">
        <v>227</v>
      </c>
      <c r="B228" s="52" t="n">
        <v>46257.85145833333</v>
      </c>
      <c r="C228" s="10" t="inlineStr">
        <is>
          <t>Фактический вход</t>
        </is>
      </c>
      <c r="D228" s="86" t="inlineStr">
        <is>
          <t>Турникет на проходной</t>
        </is>
      </c>
      <c r="E228" s="10" t="inlineStr">
        <is>
          <t>23.08–24.08 ночная (вс–пн)</t>
        </is>
      </c>
      <c r="F228" s="10" t="inlineStr">
        <is>
          <t>Вход на территорию</t>
        </is>
      </c>
    </row>
    <row r="229" ht="18" customHeight="1">
      <c r="A229" s="50" t="n">
        <v>228</v>
      </c>
      <c r="B229" s="52" t="n">
        <v>46257.86759259259</v>
      </c>
      <c r="C229" s="10" t="inlineStr">
        <is>
          <t>Нормальный вход по ключу</t>
        </is>
      </c>
      <c r="D229" s="10" t="inlineStr">
        <is>
          <t>Дверь в чистую зону</t>
        </is>
      </c>
      <c r="E229" s="10" t="inlineStr">
        <is>
          <t>23.08–24.08 ночная (вс–пн)</t>
        </is>
      </c>
      <c r="F229" s="10" t="inlineStr">
        <is>
          <t>Приход на рабочее место до начала смены</t>
        </is>
      </c>
    </row>
    <row r="230" ht="18" customHeight="1">
      <c r="A230" s="50" t="n">
        <v>229</v>
      </c>
      <c r="B230" s="52" t="n">
        <v>46258.070625</v>
      </c>
      <c r="C230" s="10" t="inlineStr">
        <is>
          <t>Нормальный выход по ключу</t>
        </is>
      </c>
      <c r="D230" s="10" t="inlineStr">
        <is>
          <t>Дверь в чистую зону</t>
        </is>
      </c>
      <c r="E230" s="10" t="inlineStr">
        <is>
          <t>23.08–24.08 ночная (вс–пн)</t>
        </is>
      </c>
      <c r="F230" s="10" t="inlineStr">
        <is>
          <t>Вышел с рабочего места</t>
        </is>
      </c>
    </row>
    <row r="231" ht="18" customHeight="1">
      <c r="A231" s="50" t="n">
        <v>230</v>
      </c>
      <c r="B231" s="52" t="n">
        <v>46258.10587962963</v>
      </c>
      <c r="C231" s="10" t="inlineStr">
        <is>
          <t>Нормальный вход по ключу</t>
        </is>
      </c>
      <c r="D231" s="10" t="inlineStr">
        <is>
          <t>Дверь в чистую зону</t>
        </is>
      </c>
      <c r="E231" s="10" t="inlineStr">
        <is>
          <t>23.08–24.08 ночная (вс–пн)</t>
        </is>
      </c>
      <c r="F231" s="10" t="inlineStr">
        <is>
          <t>Вернулся на рабочее место</t>
        </is>
      </c>
    </row>
    <row r="232" ht="18" customHeight="1">
      <c r="A232" s="50" t="n">
        <v>231</v>
      </c>
      <c r="B232" s="52" t="n">
        <v>46258.27674768519</v>
      </c>
      <c r="C232" s="10" t="inlineStr">
        <is>
          <t>Нормальный выход по ключу</t>
        </is>
      </c>
      <c r="D232" s="10" t="inlineStr">
        <is>
          <t>Дверь в чистую зону</t>
        </is>
      </c>
      <c r="E232" s="10" t="inlineStr">
        <is>
          <t>23.08–24.08 ночная (вс–пн)</t>
        </is>
      </c>
      <c r="F232" s="10" t="inlineStr">
        <is>
          <t>Вышел с рабочего места</t>
        </is>
      </c>
    </row>
    <row r="233" ht="18" customHeight="1">
      <c r="A233" s="50" t="n">
        <v>232</v>
      </c>
      <c r="B233" s="52" t="n">
        <v>46258.30232638889</v>
      </c>
      <c r="C233" s="10" t="inlineStr">
        <is>
          <t>Нормальный вход по ключу</t>
        </is>
      </c>
      <c r="D233" s="10" t="inlineStr">
        <is>
          <t>Дверь в чистую зону</t>
        </is>
      </c>
      <c r="E233" s="10" t="inlineStr">
        <is>
          <t>23.08–24.08 ночная (вс–пн)</t>
        </is>
      </c>
      <c r="F233" s="10" t="inlineStr">
        <is>
          <t>Вернулся на рабочее место</t>
        </is>
      </c>
    </row>
    <row r="234" ht="18" customHeight="1">
      <c r="A234" s="35" t="n">
        <v>233</v>
      </c>
      <c r="B234" s="77" t="n">
        <v>46258.36784722222</v>
      </c>
      <c r="C234" s="20" t="inlineStr">
        <is>
          <t>Нормальный выход по ключу</t>
        </is>
      </c>
      <c r="D234" s="20" t="inlineStr">
        <is>
          <t>Дверь в чистую зону</t>
        </is>
      </c>
      <c r="E234" s="20" t="inlineStr">
        <is>
          <t>23.08–24.08 ночная (вс–пн)</t>
        </is>
      </c>
      <c r="F234" s="79" t="inlineStr">
        <is>
          <t>Ранний уход с рабочего места</t>
        </is>
      </c>
    </row>
    <row r="235" ht="18" customHeight="1">
      <c r="A235" s="50" t="n">
        <v>234</v>
      </c>
      <c r="B235" s="52" t="n">
        <v>46258.38690972222</v>
      </c>
      <c r="C235" s="10" t="inlineStr">
        <is>
          <t>Фактический выход</t>
        </is>
      </c>
      <c r="D235" s="86" t="inlineStr">
        <is>
          <t>Турникет на проходной</t>
        </is>
      </c>
      <c r="E235" s="10" t="inlineStr">
        <is>
          <t>23.08–24.08 ночная (вс–пн)</t>
        </is>
      </c>
      <c r="F235" s="10" t="inlineStr">
        <is>
          <t>Выход с территории</t>
        </is>
      </c>
    </row>
    <row r="236" ht="18" customHeight="1">
      <c r="A236" s="50" t="n">
        <v>235</v>
      </c>
      <c r="B236" s="52" t="n">
        <v>46258.85050925926</v>
      </c>
      <c r="C236" s="10" t="inlineStr">
        <is>
          <t>Фактический вход</t>
        </is>
      </c>
      <c r="D236" s="86" t="inlineStr">
        <is>
          <t>Турникет на проходной</t>
        </is>
      </c>
      <c r="E236" s="10" t="inlineStr">
        <is>
          <t>24.08–25.08 ночная (пн–вт)</t>
        </is>
      </c>
      <c r="F236" s="10" t="inlineStr">
        <is>
          <t>Вход на территорию</t>
        </is>
      </c>
    </row>
    <row r="237" ht="18" customHeight="1">
      <c r="A237" s="50" t="n">
        <v>236</v>
      </c>
      <c r="B237" s="52" t="n">
        <v>46258.86881944445</v>
      </c>
      <c r="C237" s="10" t="inlineStr">
        <is>
          <t>Нормальный вход по ключу</t>
        </is>
      </c>
      <c r="D237" s="10" t="inlineStr">
        <is>
          <t>Дверь в чистую зону</t>
        </is>
      </c>
      <c r="E237" s="10" t="inlineStr">
        <is>
          <t>24.08–25.08 ночная (пн–вт)</t>
        </is>
      </c>
      <c r="F237" s="10" t="inlineStr">
        <is>
          <t>Приход на рабочее место до начала смены</t>
        </is>
      </c>
    </row>
    <row r="238" ht="18" customHeight="1">
      <c r="A238" s="50" t="n">
        <v>237</v>
      </c>
      <c r="B238" s="52" t="n">
        <v>46258.93454861111</v>
      </c>
      <c r="C238" s="10" t="inlineStr">
        <is>
          <t>Нормальный выход по ключу</t>
        </is>
      </c>
      <c r="D238" s="10" t="inlineStr">
        <is>
          <t>Дверь в чистую зону</t>
        </is>
      </c>
      <c r="E238" s="10" t="inlineStr">
        <is>
          <t>24.08–25.08 ночная (пн–вт)</t>
        </is>
      </c>
      <c r="F238" s="10" t="inlineStr">
        <is>
          <t>Вышел с рабочего места</t>
        </is>
      </c>
    </row>
    <row r="239" ht="18" customHeight="1">
      <c r="A239" s="50" t="n">
        <v>238</v>
      </c>
      <c r="B239" s="52" t="n">
        <v>46258.93540509259</v>
      </c>
      <c r="C239" s="10" t="inlineStr">
        <is>
          <t>Нормальный вход по ключу</t>
        </is>
      </c>
      <c r="D239" s="10" t="inlineStr">
        <is>
          <t>Дверь в чистую зону</t>
        </is>
      </c>
      <c r="E239" s="10" t="inlineStr">
        <is>
          <t>24.08–25.08 ночная (пн–вт)</t>
        </is>
      </c>
      <c r="F239" s="10" t="inlineStr">
        <is>
          <t>Вернулся на рабочее место</t>
        </is>
      </c>
    </row>
    <row r="240" ht="18" customHeight="1">
      <c r="A240" s="50" t="n">
        <v>239</v>
      </c>
      <c r="B240" s="52" t="n">
        <v>46258.96771990741</v>
      </c>
      <c r="C240" s="10" t="inlineStr">
        <is>
          <t>Нормальный выход по ключу</t>
        </is>
      </c>
      <c r="D240" s="10" t="inlineStr">
        <is>
          <t>Дверь в чистую зону</t>
        </is>
      </c>
      <c r="E240" s="10" t="inlineStr">
        <is>
          <t>24.08–25.08 ночная (пн–вт)</t>
        </is>
      </c>
      <c r="F240" s="10" t="inlineStr">
        <is>
          <t>Вышел с рабочего места</t>
        </is>
      </c>
    </row>
    <row r="241" ht="18" customHeight="1">
      <c r="A241" s="50" t="n">
        <v>240</v>
      </c>
      <c r="B241" s="52" t="n">
        <v>46258.97905092593</v>
      </c>
      <c r="C241" s="10" t="inlineStr">
        <is>
          <t>Нормальный вход по ключу</t>
        </is>
      </c>
      <c r="D241" s="10" t="inlineStr">
        <is>
          <t>Дверь в чистую зону</t>
        </is>
      </c>
      <c r="E241" s="10" t="inlineStr">
        <is>
          <t>24.08–25.08 ночная (пн–вт)</t>
        </is>
      </c>
      <c r="F241" s="10" t="inlineStr">
        <is>
          <t>Вернулся на рабочее место</t>
        </is>
      </c>
    </row>
    <row r="242" ht="18" customHeight="1">
      <c r="A242" s="50" t="n">
        <v>241</v>
      </c>
      <c r="B242" s="52" t="n">
        <v>46259.12914351852</v>
      </c>
      <c r="C242" s="10" t="inlineStr">
        <is>
          <t>Нормальный выход по ключу</t>
        </is>
      </c>
      <c r="D242" s="10" t="inlineStr">
        <is>
          <t>Дверь в чистую зону</t>
        </is>
      </c>
      <c r="E242" s="10" t="inlineStr">
        <is>
          <t>24.08–25.08 ночная (пн–вт)</t>
        </is>
      </c>
      <c r="F242" s="10" t="inlineStr">
        <is>
          <t>Вышел с рабочего места</t>
        </is>
      </c>
    </row>
    <row r="243" ht="18" customHeight="1">
      <c r="A243" s="50" t="n">
        <v>242</v>
      </c>
      <c r="B243" s="52" t="n">
        <v>46259.14243055556</v>
      </c>
      <c r="C243" s="10" t="inlineStr">
        <is>
          <t>Нормальный вход по ключу</t>
        </is>
      </c>
      <c r="D243" s="10" t="inlineStr">
        <is>
          <t>Дверь в чистую зону</t>
        </is>
      </c>
      <c r="E243" s="10" t="inlineStr">
        <is>
          <t>24.08–25.08 ночная (пн–вт)</t>
        </is>
      </c>
      <c r="F243" s="10" t="inlineStr">
        <is>
          <t>Вернулся на рабочее место</t>
        </is>
      </c>
    </row>
    <row r="244" ht="18" customHeight="1">
      <c r="A244" s="50" t="n">
        <v>243</v>
      </c>
      <c r="B244" s="52" t="n">
        <v>46259.24743055556</v>
      </c>
      <c r="C244" s="10" t="inlineStr">
        <is>
          <t>Нормальный выход по ключу</t>
        </is>
      </c>
      <c r="D244" s="10" t="inlineStr">
        <is>
          <t>Дверь в чистую зону</t>
        </is>
      </c>
      <c r="E244" s="10" t="inlineStr">
        <is>
          <t>24.08–25.08 ночная (пн–вт)</t>
        </is>
      </c>
      <c r="F244" s="10" t="inlineStr">
        <is>
          <t>Вышел с рабочего места</t>
        </is>
      </c>
    </row>
    <row r="245" ht="18" customHeight="1">
      <c r="A245" s="50" t="n">
        <v>244</v>
      </c>
      <c r="B245" s="52" t="n">
        <v>46259.259375</v>
      </c>
      <c r="C245" s="10" t="inlineStr">
        <is>
          <t>Нормальный вход по ключу</t>
        </is>
      </c>
      <c r="D245" s="10" t="inlineStr">
        <is>
          <t>Дверь в чистую зону</t>
        </is>
      </c>
      <c r="E245" s="10" t="inlineStr">
        <is>
          <t>24.08–25.08 ночная (пн–вт)</t>
        </is>
      </c>
      <c r="F245" s="10" t="inlineStr">
        <is>
          <t>Вернулся на рабочее место</t>
        </is>
      </c>
    </row>
    <row r="246" ht="18" customHeight="1">
      <c r="A246" s="35" t="n">
        <v>245</v>
      </c>
      <c r="B246" s="77" t="n">
        <v>46259.37048611111</v>
      </c>
      <c r="C246" s="20" t="inlineStr">
        <is>
          <t>Нормальный выход по ключу</t>
        </is>
      </c>
      <c r="D246" s="20" t="inlineStr">
        <is>
          <t>Дверь в чистую зону</t>
        </is>
      </c>
      <c r="E246" s="20" t="inlineStr">
        <is>
          <t>24.08–25.08 ночная (пн–вт)</t>
        </is>
      </c>
      <c r="F246" s="79" t="inlineStr">
        <is>
          <t>Ранний уход с рабочего места</t>
        </is>
      </c>
    </row>
    <row r="247" ht="18" customHeight="1">
      <c r="A247" s="50" t="n">
        <v>246</v>
      </c>
      <c r="B247" s="52" t="n">
        <v>46259.38119212963</v>
      </c>
      <c r="C247" s="10" t="inlineStr">
        <is>
          <t>Фактический выход</t>
        </is>
      </c>
      <c r="D247" s="86" t="inlineStr">
        <is>
          <t>Турникет на проходной</t>
        </is>
      </c>
      <c r="E247" s="10" t="inlineStr">
        <is>
          <t>24.08–25.08 ночная (пн–вт)</t>
        </is>
      </c>
      <c r="F247" s="10" t="inlineStr">
        <is>
          <t>Выход с территории</t>
        </is>
      </c>
    </row>
    <row r="248" ht="18" customHeight="1">
      <c r="A248" s="50" t="n">
        <v>247</v>
      </c>
      <c r="B248" s="52" t="n">
        <v>46262.35131944445</v>
      </c>
      <c r="C248" s="10" t="inlineStr">
        <is>
          <t>Фактический вход</t>
        </is>
      </c>
      <c r="D248" s="86" t="inlineStr">
        <is>
          <t>Турникет на проходной</t>
        </is>
      </c>
      <c r="E248" s="10" t="inlineStr">
        <is>
          <t>28.08 дневная (пт)</t>
        </is>
      </c>
      <c r="F248" s="10" t="inlineStr">
        <is>
          <t>Вход на территорию</t>
        </is>
      </c>
    </row>
    <row r="249" ht="18" customHeight="1">
      <c r="A249" s="50" t="n">
        <v>248</v>
      </c>
      <c r="B249" s="52" t="n">
        <v>46262.36670138889</v>
      </c>
      <c r="C249" s="10" t="inlineStr">
        <is>
          <t>Нормальный вход по ключу</t>
        </is>
      </c>
      <c r="D249" s="10" t="inlineStr">
        <is>
          <t>Дверь в чистую зону</t>
        </is>
      </c>
      <c r="E249" s="10" t="inlineStr">
        <is>
          <t>28.08 дневная (пт)</t>
        </is>
      </c>
      <c r="F249" s="10" t="inlineStr">
        <is>
          <t>Приход на рабочее место до начала смены</t>
        </is>
      </c>
    </row>
    <row r="250" ht="18" customHeight="1">
      <c r="A250" s="50" t="n">
        <v>249</v>
      </c>
      <c r="B250" s="52" t="n">
        <v>46262.50293981482</v>
      </c>
      <c r="C250" s="10" t="inlineStr">
        <is>
          <t>Нормальный выход по ключу</t>
        </is>
      </c>
      <c r="D250" s="10" t="inlineStr">
        <is>
          <t>Дверь в чистую зону</t>
        </is>
      </c>
      <c r="E250" s="10" t="inlineStr">
        <is>
          <t>28.08 дневная (пт)</t>
        </is>
      </c>
      <c r="F250" s="10" t="inlineStr">
        <is>
          <t>Вышел с рабочего места</t>
        </is>
      </c>
    </row>
    <row r="251" ht="18" customHeight="1">
      <c r="A251" s="50" t="n">
        <v>250</v>
      </c>
      <c r="B251" s="52" t="n">
        <v>46262.53938657408</v>
      </c>
      <c r="C251" s="10" t="inlineStr">
        <is>
          <t>Нормальный вход по ключу</t>
        </is>
      </c>
      <c r="D251" s="10" t="inlineStr">
        <is>
          <t>Дверь в чистую зону</t>
        </is>
      </c>
      <c r="E251" s="10" t="inlineStr">
        <is>
          <t>28.08 дневная (пт)</t>
        </is>
      </c>
      <c r="F251" s="10" t="inlineStr">
        <is>
          <t>Вернулся на рабочее место</t>
        </is>
      </c>
    </row>
    <row r="252" ht="18" customHeight="1">
      <c r="A252" s="50" t="n">
        <v>251</v>
      </c>
      <c r="B252" s="52" t="n">
        <v>46262.6228587963</v>
      </c>
      <c r="C252" s="10" t="inlineStr">
        <is>
          <t>Нормальный выход по ключу</t>
        </is>
      </c>
      <c r="D252" s="10" t="inlineStr">
        <is>
          <t>Дверь в чистую зону</t>
        </is>
      </c>
      <c r="E252" s="10" t="inlineStr">
        <is>
          <t>28.08 дневная (пт)</t>
        </is>
      </c>
      <c r="F252" s="10" t="inlineStr">
        <is>
          <t>Вышел с рабочего места</t>
        </is>
      </c>
    </row>
    <row r="253" ht="18" customHeight="1">
      <c r="A253" s="50" t="n">
        <v>252</v>
      </c>
      <c r="B253" s="52" t="n">
        <v>46262.62465277778</v>
      </c>
      <c r="C253" s="10" t="inlineStr">
        <is>
          <t>Нормальный вход по ключу</t>
        </is>
      </c>
      <c r="D253" s="10" t="inlineStr">
        <is>
          <t>Дверь в чистую зону</t>
        </is>
      </c>
      <c r="E253" s="10" t="inlineStr">
        <is>
          <t>28.08 дневная (пт)</t>
        </is>
      </c>
      <c r="F253" s="10" t="inlineStr">
        <is>
          <t>Вернулся на рабочее место</t>
        </is>
      </c>
    </row>
    <row r="254" ht="18" customHeight="1">
      <c r="A254" s="50" t="n">
        <v>253</v>
      </c>
      <c r="B254" s="52" t="n">
        <v>46262.78126157408</v>
      </c>
      <c r="C254" s="10" t="inlineStr">
        <is>
          <t>Нормальный выход по ключу</t>
        </is>
      </c>
      <c r="D254" s="10" t="inlineStr">
        <is>
          <t>Дверь в чистую зону</t>
        </is>
      </c>
      <c r="E254" s="10" t="inlineStr">
        <is>
          <t>28.08 дневная (пт)</t>
        </is>
      </c>
      <c r="F254" s="10" t="inlineStr">
        <is>
          <t>Вышел с рабочего места</t>
        </is>
      </c>
    </row>
    <row r="255" ht="18" customHeight="1">
      <c r="A255" s="50" t="n">
        <v>254</v>
      </c>
      <c r="B255" s="52" t="n">
        <v>46262.79130787037</v>
      </c>
      <c r="C255" s="10" t="inlineStr">
        <is>
          <t>Нормальный вход по ключу</t>
        </is>
      </c>
      <c r="D255" s="10" t="inlineStr">
        <is>
          <t>Дверь в чистую зону</t>
        </is>
      </c>
      <c r="E255" s="10" t="inlineStr">
        <is>
          <t>28.08 дневная (пт)</t>
        </is>
      </c>
      <c r="F255" s="10" t="inlineStr">
        <is>
          <t>Вернулся на рабочее место</t>
        </is>
      </c>
    </row>
    <row r="256" ht="18" customHeight="1">
      <c r="A256" s="35" t="n">
        <v>255</v>
      </c>
      <c r="B256" s="77" t="n">
        <v>46262.87347222222</v>
      </c>
      <c r="C256" s="20" t="inlineStr">
        <is>
          <t>Нормальный выход по ключу</t>
        </is>
      </c>
      <c r="D256" s="20" t="inlineStr">
        <is>
          <t>Дверь в чистую зону</t>
        </is>
      </c>
      <c r="E256" s="20" t="inlineStr">
        <is>
          <t>28.08 дневная (пт)</t>
        </is>
      </c>
      <c r="F256" s="79" t="inlineStr">
        <is>
          <t>Ранний уход с рабочего места</t>
        </is>
      </c>
    </row>
    <row r="257" ht="18" customHeight="1">
      <c r="A257" s="50" t="n">
        <v>256</v>
      </c>
      <c r="B257" s="52" t="n">
        <v>46262.88416666666</v>
      </c>
      <c r="C257" s="10" t="inlineStr">
        <is>
          <t>Фактический выход</t>
        </is>
      </c>
      <c r="D257" s="86" t="inlineStr">
        <is>
          <t>Турникет на проходной</t>
        </is>
      </c>
      <c r="E257" s="10" t="inlineStr">
        <is>
          <t>28.08 дневная (пт)</t>
        </is>
      </c>
      <c r="F257" s="10" t="inlineStr">
        <is>
          <t>Выход с территории</t>
        </is>
      </c>
    </row>
    <row r="258" ht="18" customHeight="1">
      <c r="A258" s="50" t="n">
        <v>257</v>
      </c>
      <c r="B258" s="52" t="n">
        <v>46263.34667824074</v>
      </c>
      <c r="C258" s="10" t="inlineStr">
        <is>
          <t>Фактический вход</t>
        </is>
      </c>
      <c r="D258" s="86" t="inlineStr">
        <is>
          <t>Турникет на проходной</t>
        </is>
      </c>
      <c r="E258" s="10" t="inlineStr">
        <is>
          <t>29.08 дневная (сб)</t>
        </is>
      </c>
      <c r="F258" s="10" t="inlineStr">
        <is>
          <t>Вход на территорию</t>
        </is>
      </c>
    </row>
    <row r="259" ht="18" customHeight="1">
      <c r="A259" s="50" t="n">
        <v>258</v>
      </c>
      <c r="B259" s="52" t="n">
        <v>46263.3646875</v>
      </c>
      <c r="C259" s="10" t="inlineStr">
        <is>
          <t>Нормальный вход по ключу</t>
        </is>
      </c>
      <c r="D259" s="10" t="inlineStr">
        <is>
          <t>Дверь в чистую зону</t>
        </is>
      </c>
      <c r="E259" s="10" t="inlineStr">
        <is>
          <t>29.08 дневная (сб)</t>
        </is>
      </c>
      <c r="F259" s="10" t="inlineStr">
        <is>
          <t>Приход на рабочее место до начала смены</t>
        </is>
      </c>
    </row>
    <row r="260" ht="18" customHeight="1">
      <c r="A260" s="50" t="n">
        <v>259</v>
      </c>
      <c r="B260" s="52" t="n">
        <v>46263.49519675926</v>
      </c>
      <c r="C260" s="10" t="inlineStr">
        <is>
          <t>Нормальный выход по ключу</t>
        </is>
      </c>
      <c r="D260" s="10" t="inlineStr">
        <is>
          <t>Дверь в чистую зону</t>
        </is>
      </c>
      <c r="E260" s="10" t="inlineStr">
        <is>
          <t>29.08 дневная (сб)</t>
        </is>
      </c>
      <c r="F260" s="10" t="inlineStr">
        <is>
          <t>Вышел с рабочего места</t>
        </is>
      </c>
    </row>
    <row r="261" ht="18" customHeight="1">
      <c r="A261" s="50" t="n">
        <v>260</v>
      </c>
      <c r="B261" s="52" t="n">
        <v>46263.51474537037</v>
      </c>
      <c r="C261" s="10" t="inlineStr">
        <is>
          <t>Нормальный вход по ключу</t>
        </is>
      </c>
      <c r="D261" s="10" t="inlineStr">
        <is>
          <t>Дверь в чистую зону</t>
        </is>
      </c>
      <c r="E261" s="10" t="inlineStr">
        <is>
          <t>29.08 дневная (сб)</t>
        </is>
      </c>
      <c r="F261" s="10" t="inlineStr">
        <is>
          <t>Вернулся на рабочее место</t>
        </is>
      </c>
    </row>
    <row r="262" ht="18" customHeight="1">
      <c r="A262" s="50" t="n">
        <v>261</v>
      </c>
      <c r="B262" s="52" t="n">
        <v>46263.5949537037</v>
      </c>
      <c r="C262" s="10" t="inlineStr">
        <is>
          <t>Нормальный выход по ключу</t>
        </is>
      </c>
      <c r="D262" s="10" t="inlineStr">
        <is>
          <t>Дверь в чистую зону</t>
        </is>
      </c>
      <c r="E262" s="10" t="inlineStr">
        <is>
          <t>29.08 дневная (сб)</t>
        </is>
      </c>
      <c r="F262" s="10" t="inlineStr">
        <is>
          <t>Вышел с рабочего места</t>
        </is>
      </c>
    </row>
    <row r="263" ht="18" customHeight="1">
      <c r="A263" s="50" t="n">
        <v>262</v>
      </c>
      <c r="B263" s="52" t="n">
        <v>46263.59582175926</v>
      </c>
      <c r="C263" s="10" t="inlineStr">
        <is>
          <t>Нормальный вход по ключу</t>
        </is>
      </c>
      <c r="D263" s="10" t="inlineStr">
        <is>
          <t>Дверь в чистую зону</t>
        </is>
      </c>
      <c r="E263" s="10" t="inlineStr">
        <is>
          <t>29.08 дневная (сб)</t>
        </is>
      </c>
      <c r="F263" s="10" t="inlineStr">
        <is>
          <t>Вернулся на рабочее место</t>
        </is>
      </c>
    </row>
    <row r="264" ht="18" customHeight="1">
      <c r="A264" s="50" t="n">
        <v>263</v>
      </c>
      <c r="B264" s="52" t="n">
        <v>46263.65344907407</v>
      </c>
      <c r="C264" s="10" t="inlineStr">
        <is>
          <t>Нормальный выход по ключу</t>
        </is>
      </c>
      <c r="D264" s="10" t="inlineStr">
        <is>
          <t>Дверь в чистую зону</t>
        </is>
      </c>
      <c r="E264" s="10" t="inlineStr">
        <is>
          <t>29.08 дневная (сб)</t>
        </is>
      </c>
      <c r="F264" s="10" t="inlineStr">
        <is>
          <t>Вышел с рабочего места</t>
        </is>
      </c>
    </row>
    <row r="265" ht="18" customHeight="1">
      <c r="A265" s="50" t="n">
        <v>264</v>
      </c>
      <c r="B265" s="52" t="n">
        <v>46263.65730324074</v>
      </c>
      <c r="C265" s="10" t="inlineStr">
        <is>
          <t>Нормальный вход по ключу</t>
        </is>
      </c>
      <c r="D265" s="10" t="inlineStr">
        <is>
          <t>Дверь в чистую зону</t>
        </is>
      </c>
      <c r="E265" s="10" t="inlineStr">
        <is>
          <t>29.08 дневная (сб)</t>
        </is>
      </c>
      <c r="F265" s="10" t="inlineStr">
        <is>
          <t>Вернулся на рабочее место</t>
        </is>
      </c>
    </row>
    <row r="266" ht="18" customHeight="1">
      <c r="A266" s="35" t="n">
        <v>265</v>
      </c>
      <c r="B266" s="77" t="n">
        <v>46263.86400462963</v>
      </c>
      <c r="C266" s="20" t="inlineStr">
        <is>
          <t>Нормальный выход по ключу</t>
        </is>
      </c>
      <c r="D266" s="20" t="inlineStr">
        <is>
          <t>Дверь в чистую зону</t>
        </is>
      </c>
      <c r="E266" s="20" t="inlineStr">
        <is>
          <t>29.08 дневная (сб)</t>
        </is>
      </c>
      <c r="F266" s="79" t="inlineStr">
        <is>
          <t>Ранний уход с рабочего места</t>
        </is>
      </c>
    </row>
    <row r="267" ht="18" customHeight="1">
      <c r="A267" s="50" t="n">
        <v>266</v>
      </c>
      <c r="B267" s="52" t="n">
        <v>46263.8853125</v>
      </c>
      <c r="C267" s="10" t="inlineStr">
        <is>
          <t>Фактический выход</t>
        </is>
      </c>
      <c r="D267" s="86" t="inlineStr">
        <is>
          <t>Турникет на проходной</t>
        </is>
      </c>
      <c r="E267" s="10" t="inlineStr">
        <is>
          <t>29.08 дневная (сб)</t>
        </is>
      </c>
      <c r="F267" s="10" t="inlineStr">
        <is>
          <t>Выход с территории</t>
        </is>
      </c>
    </row>
    <row r="268" ht="18" customHeight="1">
      <c r="A268" s="50" t="n">
        <v>267</v>
      </c>
      <c r="B268" s="52" t="n">
        <v>46264.85085648148</v>
      </c>
      <c r="C268" s="10" t="inlineStr">
        <is>
          <t>Фактический вход</t>
        </is>
      </c>
      <c r="D268" s="86" t="inlineStr">
        <is>
          <t>Турникет на проходной</t>
        </is>
      </c>
      <c r="E268" s="10" t="inlineStr">
        <is>
          <t>30.08–31.08 ночная (вс–пн)</t>
        </is>
      </c>
      <c r="F268" s="10" t="inlineStr">
        <is>
          <t>Вход на территорию</t>
        </is>
      </c>
    </row>
    <row r="269" ht="18" customHeight="1">
      <c r="A269" s="50" t="n">
        <v>268</v>
      </c>
      <c r="B269" s="52" t="n">
        <v>46264.87263888889</v>
      </c>
      <c r="C269" s="10" t="inlineStr">
        <is>
          <t>Нормальный вход по ключу</t>
        </is>
      </c>
      <c r="D269" s="10" t="inlineStr">
        <is>
          <t>Дверь в чистую зону</t>
        </is>
      </c>
      <c r="E269" s="10" t="inlineStr">
        <is>
          <t>30.08–31.08 ночная (вс–пн)</t>
        </is>
      </c>
      <c r="F269" s="10" t="inlineStr">
        <is>
          <t>Приход на рабочее место до начала смены</t>
        </is>
      </c>
    </row>
    <row r="270" ht="18" customHeight="1">
      <c r="A270" s="50" t="n">
        <v>269</v>
      </c>
      <c r="B270" s="52" t="n">
        <v>46264.96887731482</v>
      </c>
      <c r="C270" s="10" t="inlineStr">
        <is>
          <t>Нормальный выход по ключу</t>
        </is>
      </c>
      <c r="D270" s="10" t="inlineStr">
        <is>
          <t>Дверь в чистую зону</t>
        </is>
      </c>
      <c r="E270" s="10" t="inlineStr">
        <is>
          <t>30.08–31.08 ночная (вс–пн)</t>
        </is>
      </c>
      <c r="F270" s="10" t="inlineStr">
        <is>
          <t>Вышел с рабочего места</t>
        </is>
      </c>
    </row>
    <row r="271" ht="18" customHeight="1">
      <c r="A271" s="50" t="n">
        <v>270</v>
      </c>
      <c r="B271" s="52" t="n">
        <v>46264.97851851852</v>
      </c>
      <c r="C271" s="10" t="inlineStr">
        <is>
          <t>Нормальный вход по ключу</t>
        </is>
      </c>
      <c r="D271" s="10" t="inlineStr">
        <is>
          <t>Дверь в чистую зону</t>
        </is>
      </c>
      <c r="E271" s="10" t="inlineStr">
        <is>
          <t>30.08–31.08 ночная (вс–пн)</t>
        </is>
      </c>
      <c r="F271" s="10" t="inlineStr">
        <is>
          <t>Вернулся на рабочее место</t>
        </is>
      </c>
    </row>
    <row r="272" ht="18" customHeight="1">
      <c r="A272" s="50" t="n">
        <v>271</v>
      </c>
      <c r="B272" s="52" t="n">
        <v>46265.1340625</v>
      </c>
      <c r="C272" s="10" t="inlineStr">
        <is>
          <t>Нормальный выход по ключу</t>
        </is>
      </c>
      <c r="D272" s="10" t="inlineStr">
        <is>
          <t>Дверь в чистую зону</t>
        </is>
      </c>
      <c r="E272" s="10" t="inlineStr">
        <is>
          <t>30.08–31.08 ночная (вс–пн)</t>
        </is>
      </c>
      <c r="F272" s="10" t="inlineStr">
        <is>
          <t>Вышел с рабочего места</t>
        </is>
      </c>
    </row>
    <row r="273" ht="18" customHeight="1">
      <c r="A273" s="50" t="n">
        <v>272</v>
      </c>
      <c r="B273" s="52" t="n">
        <v>46265.13560185185</v>
      </c>
      <c r="C273" s="10" t="inlineStr">
        <is>
          <t>Нормальный вход по ключу</t>
        </is>
      </c>
      <c r="D273" s="10" t="inlineStr">
        <is>
          <t>Дверь в чистую зону</t>
        </is>
      </c>
      <c r="E273" s="10" t="inlineStr">
        <is>
          <t>30.08–31.08 ночная (вс–пн)</t>
        </is>
      </c>
      <c r="F273" s="10" t="inlineStr">
        <is>
          <t>Вернулся на рабочее место</t>
        </is>
      </c>
    </row>
    <row r="274" ht="18" customHeight="1">
      <c r="A274" s="50" t="n">
        <v>273</v>
      </c>
      <c r="B274" s="52" t="n">
        <v>46265.23033564815</v>
      </c>
      <c r="C274" s="10" t="inlineStr">
        <is>
          <t>Нормальный выход по ключу</t>
        </is>
      </c>
      <c r="D274" s="10" t="inlineStr">
        <is>
          <t>Дверь в чистую зону</t>
        </is>
      </c>
      <c r="E274" s="10" t="inlineStr">
        <is>
          <t>30.08–31.08 ночная (вс–пн)</t>
        </is>
      </c>
      <c r="F274" s="10" t="inlineStr">
        <is>
          <t>Вышел с рабочего места</t>
        </is>
      </c>
    </row>
    <row r="275" ht="18" customHeight="1">
      <c r="A275" s="50" t="n">
        <v>274</v>
      </c>
      <c r="B275" s="52" t="n">
        <v>46265.24939814815</v>
      </c>
      <c r="C275" s="10" t="inlineStr">
        <is>
          <t>Нормальный вход по ключу</t>
        </is>
      </c>
      <c r="D275" s="10" t="inlineStr">
        <is>
          <t>Дверь в чистую зону</t>
        </is>
      </c>
      <c r="E275" s="10" t="inlineStr">
        <is>
          <t>30.08–31.08 ночная (вс–пн)</t>
        </is>
      </c>
      <c r="F275" s="10" t="inlineStr">
        <is>
          <t>Вернулся на рабочее место</t>
        </is>
      </c>
    </row>
    <row r="276" ht="18" customHeight="1">
      <c r="A276" s="35" t="n">
        <v>275</v>
      </c>
      <c r="B276" s="77" t="n">
        <v>46265.36237268519</v>
      </c>
      <c r="C276" s="20" t="inlineStr">
        <is>
          <t>Нормальный выход по ключу</t>
        </is>
      </c>
      <c r="D276" s="20" t="inlineStr">
        <is>
          <t>Дверь в чистую зону</t>
        </is>
      </c>
      <c r="E276" s="20" t="inlineStr">
        <is>
          <t>30.08–31.08 ночная (вс–пн)</t>
        </is>
      </c>
      <c r="F276" s="79" t="inlineStr">
        <is>
          <t>Ранний уход с рабочего места</t>
        </is>
      </c>
    </row>
    <row r="277" ht="18" customHeight="1">
      <c r="A277" s="50" t="n">
        <v>276</v>
      </c>
      <c r="B277" s="52" t="n">
        <v>46265.3712037037</v>
      </c>
      <c r="C277" s="10" t="inlineStr">
        <is>
          <t>Фактический выход</t>
        </is>
      </c>
      <c r="D277" s="86" t="inlineStr">
        <is>
          <t>Турникет на проходной</t>
        </is>
      </c>
      <c r="E277" s="10" t="inlineStr">
        <is>
          <t>30.08–31.08 ночная (вс–пн)</t>
        </is>
      </c>
      <c r="F277" s="10" t="inlineStr">
        <is>
          <t>Выход с территории</t>
        </is>
      </c>
    </row>
    <row r="278" ht="18" customHeight="1">
      <c r="A278" s="50" t="n">
        <v>277</v>
      </c>
      <c r="B278" s="52" t="n">
        <v>46265.85018518518</v>
      </c>
      <c r="C278" s="10" t="inlineStr">
        <is>
          <t>Фактический вход</t>
        </is>
      </c>
      <c r="D278" s="86" t="inlineStr">
        <is>
          <t>Турникет на проходной</t>
        </is>
      </c>
      <c r="E278" s="10" t="inlineStr">
        <is>
          <t>31.08–01.09 ночная (пн–вт)</t>
        </is>
      </c>
      <c r="F278" s="10" t="inlineStr">
        <is>
          <t>Вход на территорию</t>
        </is>
      </c>
    </row>
    <row r="279" ht="18" customHeight="1">
      <c r="A279" s="50" t="n">
        <v>278</v>
      </c>
      <c r="B279" s="52" t="n">
        <v>46265.87070601852</v>
      </c>
      <c r="C279" s="10" t="inlineStr">
        <is>
          <t>Нормальный вход по ключу</t>
        </is>
      </c>
      <c r="D279" s="10" t="inlineStr">
        <is>
          <t>Дверь в чистую зону</t>
        </is>
      </c>
      <c r="E279" s="10" t="inlineStr">
        <is>
          <t>31.08–01.09 ночная (пн–вт)</t>
        </is>
      </c>
      <c r="F279" s="10" t="inlineStr">
        <is>
          <t>Приход на рабочее место до начала смены</t>
        </is>
      </c>
    </row>
    <row r="280" ht="18" customHeight="1">
      <c r="A280" s="50" t="n">
        <v>279</v>
      </c>
      <c r="B280" s="52" t="n">
        <v>46265.94534722222</v>
      </c>
      <c r="C280" s="10" t="inlineStr">
        <is>
          <t>Нормальный выход по ключу</t>
        </is>
      </c>
      <c r="D280" s="10" t="inlineStr">
        <is>
          <t>Дверь в чистую зону</t>
        </is>
      </c>
      <c r="E280" s="10" t="inlineStr">
        <is>
          <t>31.08–01.09 ночная (пн–вт)</t>
        </is>
      </c>
      <c r="F280" s="10" t="inlineStr">
        <is>
          <t>Вышел с рабочего места</t>
        </is>
      </c>
    </row>
    <row r="281" ht="18" customHeight="1">
      <c r="A281" s="50" t="n">
        <v>280</v>
      </c>
      <c r="B281" s="52" t="n">
        <v>46265.95636574074</v>
      </c>
      <c r="C281" s="10" t="inlineStr">
        <is>
          <t>Нормальный вход по ключу</t>
        </is>
      </c>
      <c r="D281" s="10" t="inlineStr">
        <is>
          <t>Дверь в чистую зону</t>
        </is>
      </c>
      <c r="E281" s="10" t="inlineStr">
        <is>
          <t>31.08–01.09 ночная (пн–вт)</t>
        </is>
      </c>
      <c r="F281" s="10" t="inlineStr">
        <is>
          <t>Вернулся на рабочее место</t>
        </is>
      </c>
    </row>
    <row r="282" ht="18" customHeight="1">
      <c r="A282" s="50" t="n">
        <v>281</v>
      </c>
      <c r="B282" s="52" t="n">
        <v>46265.98650462963</v>
      </c>
      <c r="C282" s="10" t="inlineStr">
        <is>
          <t>Нормальный выход по ключу</t>
        </is>
      </c>
      <c r="D282" s="10" t="inlineStr">
        <is>
          <t>Дверь в чистую зону</t>
        </is>
      </c>
      <c r="E282" s="10" t="inlineStr">
        <is>
          <t>31.08–01.09 ночная (пн–вт)</t>
        </is>
      </c>
      <c r="F282" s="10" t="inlineStr">
        <is>
          <t>Вышел с рабочего места</t>
        </is>
      </c>
    </row>
    <row r="283" ht="18" customHeight="1">
      <c r="A283" s="57" t="n">
        <v>282</v>
      </c>
      <c r="B283" s="72" t="n">
        <v>46265.98733796296</v>
      </c>
      <c r="C283" s="71" t="inlineStr">
        <is>
          <t>Нормальный вход по ключу</t>
        </is>
      </c>
      <c r="D283" s="71" t="inlineStr">
        <is>
          <t>Дверь в чистую зону</t>
        </is>
      </c>
      <c r="E283" s="71" t="inlineStr">
        <is>
          <t>31.08–01.09 ночная (пн–вт)</t>
        </is>
      </c>
      <c r="F283" s="87" t="inlineStr">
        <is>
          <t>Вход в чистую зону, дальше журнал обрывается</t>
        </is>
      </c>
    </row>
  </sheetData>
  <autoFilter ref="A1:F283"/>
  <pageMargins left="0.75" right="0.75" top="1" bottom="1" header="0.5" footer="0.5"/>
  <pageSetup orientation="landscape" fitToHeight="0" fitToWidth="1"/>
  <headerFooter>
    <oddHeader/>
    <oddFooter>&amp;RЖурнал событий, 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A6D1B"/>
    <outlinePr summaryBelow="1" summaryRight="1"/>
    <pageSetUpPr fitToPage="1"/>
  </sheetPr>
  <dimension ref="B2:B15"/>
  <sheetViews>
    <sheetView showGridLines="0" zoomScale="120" workbookViewId="0">
      <selection activeCell="A1" sqref="A1"/>
    </sheetView>
  </sheetViews>
  <sheetFormatPr baseColWidth="8" defaultRowHeight="15"/>
  <cols>
    <col width="3" customWidth="1" min="1" max="1"/>
    <col width="140" customWidth="1" min="2" max="2"/>
  </cols>
  <sheetData>
    <row r="1" ht="10" customHeight="1"/>
    <row r="2" ht="24" customHeight="1">
      <c r="B2" s="5" t="inlineStr">
        <is>
          <t>Как посчитано</t>
        </is>
      </c>
    </row>
    <row r="3" ht="48" customHeight="1">
      <c r="B3" s="88" t="inlineStr">
        <is>
          <t>Рабочее место — зона за дверью «Дверь в чистую зону». Время на рабочем месте — сумма промежутков от «Нормальный вход по ключу» до следующего «Нормальный выход по ключу» по этой двери. Короткий заход тоже учтён: 13.09 сотрудник зашёл в 18:37:13 и вышел в 18:37:34, это 21 секунда.</t>
        </is>
      </c>
    </row>
    <row r="4" ht="48" customHeight="1">
      <c r="B4" s="88" t="inlineStr">
        <is>
          <t>Территория — от «Фактический вход» до «Фактический выход» на турникете проходной. Гардероб стоит на территории, но рабочим местом не является. В журнале у гардероба есть только входы, выходов нет, поэтому отдельное время гардероба не считается. Оно входит во время на территории и не входит во время на рабочем месте.</t>
        </is>
      </c>
    </row>
    <row r="5" ht="48" customHeight="1">
      <c r="B5" s="88" t="inlineStr">
        <is>
          <t>График смены — 12 часов. Если сотрудник уходит с территории утром (около 09:00), это конец ночной смены 21:00–09:00. Если уходит вечером (около 21:00), это конец дневной смены 09:00–21:00. В журнале других вариантов выхода нет.</t>
        </is>
      </c>
    </row>
    <row r="6" ht="48" customHeight="1">
      <c r="B6" s="88" t="inlineStr">
        <is>
          <t>Опоздание — первый вход в чистую зону позже начала смены. Приход раньше начала не считается нарушением: к 09:00 или к 21:00 человек уже был на рабочем месте.</t>
        </is>
      </c>
    </row>
    <row r="7" ht="48" customHeight="1">
      <c r="B7" s="88" t="inlineStr">
        <is>
          <t>Ранний уход — последний выход из чистой зоны раньше конца смены. Если после этого он ещё заходил в гардероб или выходил через турникет позже, смена на рабочем месте всё равно закончилась в момент выхода из чистой зоны. Уход позже конца смены нарушением не считается.</t>
        </is>
      </c>
    </row>
    <row r="8" ht="48" customHeight="1">
      <c r="B8" s="88" t="inlineStr">
        <is>
          <t>Цветом выделены отклонения от 1 минуты. Красный — опоздание, оранжевый — ранний уход. Жёлтым отмечено пояснение у такого отклонения и у неполных данных. Расхождение меньше минуты видно в цифрах и в бледно-жёлтой ячейке, но в статус «нарушение» не попадает: это сопоставимо с секундами срабатывания двери.</t>
        </is>
      </c>
    </row>
    <row r="9" ht="64" customHeight="1">
      <c r="B9" s="88" t="inlineStr">
        <is>
          <t>Отлучка — выход из чистой зоны и следующий вход в неё в той же смене. Повторного прохода через турникет посреди смены нет, то есть во время отлучки сотрудник оставался на территории. Отлучка не названа ни опозданием, ни ранним уходом. В колонке «Отлучки от 10 минут» перечислены только промежутки от 10 минут; более короткие лежат на листе «Отлучки».</t>
        </is>
      </c>
    </row>
    <row r="10" ht="48" customHeight="1">
      <c r="B10" s="88" t="inlineStr">
        <is>
          <t>Доля графика — время в чистой зоне между началом и концом смены, делённое на 12 часов. Минуты, проведённые в чистой зоне до начала или после конца, в долю не входят, но входят в общее время на рабочем месте.</t>
        </is>
      </c>
    </row>
    <row r="11" ht="24" customHeight="1">
      <c r="B11" s="5" t="inlineStr">
        <is>
          <t>Что сознательно не додумано</t>
        </is>
      </c>
    </row>
    <row r="12" ht="48" customHeight="1">
      <c r="B12" s="88" t="inlineStr">
        <is>
          <t>Дни без единой записи не названы прогулами или выходными. В файле их нет, и по одному только журналу нельзя понять, была это смена другого человека, отгул или обрезанная выгрузка.</t>
        </is>
      </c>
    </row>
    <row r="13" ht="48" customHeight="1">
      <c r="B13" s="88" t="inlineStr">
        <is>
          <t>Если журнал начинается уже с выхода из чистой зоны или обрывается на входе без последующего выхода, смена помечена как неполные данные и не входит в общий итог. Известный кусок остаётся в строке этой смены.</t>
        </is>
      </c>
    </row>
    <row r="14" ht="48" customHeight="1">
      <c r="B14" s="88" t="inlineStr">
        <is>
          <t>Если нет фактического входа через турникет, время на территории не считается. Выход через турникет за несколько секунд до входа, когда предыдущая смена уже закрыта, не принимается за уход с территории.</t>
        </is>
      </c>
    </row>
    <row r="15" ht="48" customHeight="1">
      <c r="B15" s="88" t="inlineStr">
        <is>
          <t>Если сотрудник пришёл утром, как на дневную смену, но ушёл задолго до 21:00, это всё равно дневная смена 09:00–21:00, а уход считается ранним.</t>
        </is>
      </c>
    </row>
  </sheetData>
  <pageMargins left="0.6" right="0.6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</cols>
  <sheetData>
    <row r="1">
      <c r="A1" s="89" t="inlineStr">
        <is>
          <t>Смена</t>
        </is>
      </c>
      <c r="B1" s="89" t="inlineStr">
        <is>
          <t>На рабочем месте, ч</t>
        </is>
      </c>
      <c r="C1" s="89" t="inlineStr">
        <is>
          <t>На территории, ч</t>
        </is>
      </c>
      <c r="D1" s="89" t="inlineStr">
        <is>
          <t>График, ч</t>
        </is>
      </c>
    </row>
    <row r="2">
      <c r="A2" s="90" t="inlineStr">
        <is>
          <t>30.06–01.07 ночная (вт–ср) *</t>
        </is>
      </c>
      <c r="B2" s="91" t="n">
        <v>6.4311</v>
      </c>
      <c r="C2" s="91" t="n"/>
      <c r="D2" s="92" t="n"/>
    </row>
    <row r="3">
      <c r="A3" s="90" t="inlineStr">
        <is>
          <t>03.07 дневная (пт)</t>
        </is>
      </c>
      <c r="B3" s="91" t="n">
        <v>11.6739</v>
      </c>
      <c r="C3" s="91" t="n">
        <v>12.8344</v>
      </c>
      <c r="D3" s="92" t="n">
        <v>12</v>
      </c>
    </row>
    <row r="4">
      <c r="A4" s="90" t="inlineStr">
        <is>
          <t>04.07 дневная (сб)</t>
        </is>
      </c>
      <c r="B4" s="91" t="n">
        <v>2.0739</v>
      </c>
      <c r="C4" s="91" t="n">
        <v>2.5822</v>
      </c>
      <c r="D4" s="92" t="n">
        <v>12</v>
      </c>
    </row>
    <row r="5">
      <c r="A5" s="90" t="inlineStr">
        <is>
          <t>05.07 дневная (вс)</t>
        </is>
      </c>
      <c r="B5" s="91" t="n">
        <v>11.4992</v>
      </c>
      <c r="C5" s="91" t="n">
        <v>12.7544</v>
      </c>
      <c r="D5" s="92" t="n">
        <v>12</v>
      </c>
    </row>
    <row r="6">
      <c r="A6" s="90" t="inlineStr">
        <is>
          <t>06.07–07.07 ночная (пн–вт)</t>
        </is>
      </c>
      <c r="B6" s="91" t="n">
        <v>11.7372</v>
      </c>
      <c r="C6" s="91" t="n">
        <v>12.8225</v>
      </c>
      <c r="D6" s="92" t="n">
        <v>12</v>
      </c>
    </row>
    <row r="7">
      <c r="A7" s="90" t="inlineStr">
        <is>
          <t>07.07–08.07 ночная (вт–ср)</t>
        </is>
      </c>
      <c r="B7" s="91" t="n">
        <v>11.7931</v>
      </c>
      <c r="C7" s="91" t="n">
        <v>12.955</v>
      </c>
      <c r="D7" s="92" t="n">
        <v>12</v>
      </c>
    </row>
    <row r="8">
      <c r="A8" s="90" t="inlineStr">
        <is>
          <t>11.07 дневная (сб)</t>
        </is>
      </c>
      <c r="B8" s="91" t="n">
        <v>11.4681</v>
      </c>
      <c r="C8" s="91" t="n">
        <v>12.8053</v>
      </c>
      <c r="D8" s="92" t="n">
        <v>12</v>
      </c>
    </row>
    <row r="9">
      <c r="A9" s="90" t="inlineStr">
        <is>
          <t>12.07 дневная (вс)</t>
        </is>
      </c>
      <c r="B9" s="91" t="n">
        <v>11.1372</v>
      </c>
      <c r="C9" s="91" t="n">
        <v>12.8047</v>
      </c>
      <c r="D9" s="92" t="n">
        <v>12</v>
      </c>
    </row>
    <row r="10">
      <c r="A10" s="90" t="inlineStr">
        <is>
          <t>14.07–15.07 ночная (вт–ср)</t>
        </is>
      </c>
      <c r="B10" s="91" t="n">
        <v>11.7561</v>
      </c>
      <c r="C10" s="91" t="n">
        <v>12.8489</v>
      </c>
      <c r="D10" s="92" t="n">
        <v>12</v>
      </c>
    </row>
    <row r="11">
      <c r="A11" s="90" t="inlineStr">
        <is>
          <t>15.07–16.07 ночная (ср–чт)</t>
        </is>
      </c>
      <c r="B11" s="91" t="n">
        <v>11.4289</v>
      </c>
      <c r="C11" s="91" t="n">
        <v>12.6694</v>
      </c>
      <c r="D11" s="92" t="n">
        <v>12</v>
      </c>
    </row>
    <row r="12">
      <c r="A12" s="90" t="inlineStr">
        <is>
          <t>16.07–17.07 ночная (чт–пт)</t>
        </is>
      </c>
      <c r="B12" s="91" t="n">
        <v>8.4864</v>
      </c>
      <c r="C12" s="91" t="n">
        <v>12.8369</v>
      </c>
      <c r="D12" s="92" t="n">
        <v>12</v>
      </c>
    </row>
    <row r="13">
      <c r="A13" s="90" t="inlineStr">
        <is>
          <t>19.07 дневная (вс)</t>
        </is>
      </c>
      <c r="B13" s="91" t="n">
        <v>11.47</v>
      </c>
      <c r="C13" s="91" t="n">
        <v>12.6914</v>
      </c>
      <c r="D13" s="92" t="n">
        <v>12</v>
      </c>
    </row>
    <row r="14">
      <c r="A14" s="90" t="inlineStr">
        <is>
          <t>20.07 дневная (пн)</t>
        </is>
      </c>
      <c r="B14" s="91" t="n">
        <v>11.1322</v>
      </c>
      <c r="C14" s="91" t="n">
        <v>12.7467</v>
      </c>
      <c r="D14" s="92" t="n">
        <v>12</v>
      </c>
    </row>
    <row r="15">
      <c r="A15" s="90" t="inlineStr">
        <is>
          <t>21.07–22.07 ночная (вт–ср)</t>
        </is>
      </c>
      <c r="B15" s="91" t="n">
        <v>11.1281</v>
      </c>
      <c r="C15" s="91" t="n">
        <v>12.7947</v>
      </c>
      <c r="D15" s="92" t="n">
        <v>12</v>
      </c>
    </row>
    <row r="16">
      <c r="A16" s="90" t="inlineStr">
        <is>
          <t>22.07–23.07 ночная (ср–чт)</t>
        </is>
      </c>
      <c r="B16" s="91" t="n">
        <v>11.2822</v>
      </c>
      <c r="C16" s="91" t="n">
        <v>12.7464</v>
      </c>
      <c r="D16" s="92" t="n">
        <v>12</v>
      </c>
    </row>
    <row r="17">
      <c r="A17" s="90" t="inlineStr">
        <is>
          <t>23.07–24.07 ночная (чт–пт)</t>
        </is>
      </c>
      <c r="B17" s="91" t="n">
        <v>11.7339</v>
      </c>
      <c r="C17" s="91" t="n">
        <v>12.9089</v>
      </c>
      <c r="D17" s="92" t="n">
        <v>12</v>
      </c>
    </row>
    <row r="18">
      <c r="A18" s="90" t="inlineStr">
        <is>
          <t>25.07 дневная (сб)</t>
        </is>
      </c>
      <c r="B18" s="91" t="n">
        <v>11.5142</v>
      </c>
      <c r="C18" s="91" t="n">
        <v>12.77</v>
      </c>
      <c r="D18" s="92" t="n">
        <v>12</v>
      </c>
    </row>
    <row r="19">
      <c r="A19" s="90" t="inlineStr">
        <is>
          <t>27.07 дневная (пн)</t>
        </is>
      </c>
      <c r="B19" s="91" t="n">
        <v>11.1444</v>
      </c>
      <c r="C19" s="91" t="n">
        <v>12.8822</v>
      </c>
      <c r="D19" s="92" t="n">
        <v>12</v>
      </c>
    </row>
    <row r="20">
      <c r="A20" s="90" t="inlineStr">
        <is>
          <t>28.07 дневная (вт)</t>
        </is>
      </c>
      <c r="B20" s="91" t="n">
        <v>11.4233</v>
      </c>
      <c r="C20" s="91" t="n">
        <v>12.7167</v>
      </c>
      <c r="D20" s="92" t="n">
        <v>12</v>
      </c>
    </row>
    <row r="21">
      <c r="A21" s="90" t="inlineStr">
        <is>
          <t>29.07–30.07 ночная (ср–чт)</t>
        </is>
      </c>
      <c r="B21" s="91" t="n">
        <v>11.4461</v>
      </c>
      <c r="C21" s="91" t="n">
        <v>12.9414</v>
      </c>
      <c r="D21" s="92" t="n">
        <v>12</v>
      </c>
    </row>
    <row r="22">
      <c r="A22" s="90" t="inlineStr">
        <is>
          <t>30.07–31.07 ночная (чт–пт)</t>
        </is>
      </c>
      <c r="B22" s="91" t="n">
        <v>10.7431</v>
      </c>
      <c r="C22" s="91" t="n">
        <v>12.6883</v>
      </c>
      <c r="D22" s="92" t="n">
        <v>12</v>
      </c>
    </row>
    <row r="23">
      <c r="A23" s="90" t="inlineStr">
        <is>
          <t>31.07–01.08 ночная (пт–сб)</t>
        </is>
      </c>
      <c r="B23" s="91" t="n">
        <v>10.6472</v>
      </c>
      <c r="C23" s="91" t="n">
        <v>12.5558</v>
      </c>
      <c r="D23" s="92" t="n">
        <v>12</v>
      </c>
    </row>
    <row r="24">
      <c r="A24" s="90" t="inlineStr">
        <is>
          <t>20.08 дневная (чт)</t>
        </is>
      </c>
      <c r="B24" s="91" t="n">
        <v>10.4039</v>
      </c>
      <c r="C24" s="91" t="n">
        <v>12.5403</v>
      </c>
      <c r="D24" s="92" t="n">
        <v>12</v>
      </c>
    </row>
    <row r="25">
      <c r="A25" s="90" t="inlineStr">
        <is>
          <t>21.08 дневная (пт)</t>
        </is>
      </c>
      <c r="B25" s="91" t="n">
        <v>10.5522</v>
      </c>
      <c r="C25" s="91" t="n">
        <v>12.7119</v>
      </c>
      <c r="D25" s="92" t="n">
        <v>12</v>
      </c>
    </row>
    <row r="26">
      <c r="A26" s="90" t="inlineStr">
        <is>
          <t>23.08–24.08 ночная (вс–пн)</t>
        </is>
      </c>
      <c r="B26" s="91" t="n">
        <v>10.5461</v>
      </c>
      <c r="C26" s="91" t="n">
        <v>12.8508</v>
      </c>
      <c r="D26" s="92" t="n">
        <v>12</v>
      </c>
    </row>
    <row r="27">
      <c r="A27" s="90" t="inlineStr">
        <is>
          <t>24.08–25.08 ночная (пн–вт)</t>
        </is>
      </c>
      <c r="B27" s="91" t="n">
        <v>11.1419</v>
      </c>
      <c r="C27" s="91" t="n">
        <v>12.7364</v>
      </c>
      <c r="D27" s="92" t="n">
        <v>12</v>
      </c>
    </row>
    <row r="28">
      <c r="A28" s="90" t="inlineStr">
        <is>
          <t>28.08 дневная (пт)</t>
        </is>
      </c>
      <c r="B28" s="91" t="n">
        <v>11.0036</v>
      </c>
      <c r="C28" s="91" t="n">
        <v>12.7883</v>
      </c>
      <c r="D28" s="92" t="n">
        <v>12</v>
      </c>
    </row>
    <row r="29">
      <c r="A29" s="90" t="inlineStr">
        <is>
          <t>29.08 дневная (сб)</t>
        </is>
      </c>
      <c r="B29" s="91" t="n">
        <v>11.4011</v>
      </c>
      <c r="C29" s="91" t="n">
        <v>12.9272</v>
      </c>
      <c r="D29" s="92" t="n">
        <v>12</v>
      </c>
    </row>
    <row r="30">
      <c r="A30" s="90" t="inlineStr">
        <is>
          <t>30.08–31.08 ночная (вс–пн)</t>
        </is>
      </c>
      <c r="B30" s="91" t="n">
        <v>11.0278</v>
      </c>
      <c r="C30" s="91" t="n">
        <v>12.4883</v>
      </c>
      <c r="D30" s="92" t="n">
        <v>12</v>
      </c>
    </row>
    <row r="31">
      <c r="A31" s="90" t="inlineStr">
        <is>
          <t>31.08–01.09 ночная (пн–вт) *</t>
        </is>
      </c>
      <c r="B31" s="91" t="n">
        <v>2.5147</v>
      </c>
      <c r="C31" s="91" t="n"/>
      <c r="D31" s="9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Анализ журнала СКУД</dc:creator>
  <dc:title>Нахождение на рабочем месте, июль–август 2026</dc:title>
  <dc:subject>Рабочее место — чистая зона; территория — турникет</dc:subject>
  <dcterms:created xsi:type="dcterms:W3CDTF">2026-10-08T05:34:56Z</dcterms:created>
  <dcterms:modified xsi:type="dcterms:W3CDTF">2026-10-08T05:34:56Z</dcterms:modified>
</cp:coreProperties>
</file>