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Смены" sheetId="2" state="visible" r:id="rId2"/>
    <sheet name="Отлучки" sheetId="3" state="visible" r:id="rId3"/>
    <sheet name="Интервалы" sheetId="4" state="visible" r:id="rId4"/>
    <sheet name="Журнал" sheetId="5" state="visible" r:id="rId5"/>
    <sheet name="Методика" sheetId="6" state="visible" r:id="rId6"/>
    <sheet name="Данные графика" sheetId="7" state="hidden" r:id="rId7"/>
  </sheets>
  <definedNames>
    <definedName name="_xlnm._FilterDatabase" localSheetId="1" hidden="1">'Смены'!$A$2:$T$17</definedName>
    <definedName name="_xlnm.Print_Titles" localSheetId="1">'Смены'!$1:$2</definedName>
    <definedName name="_xlnm._FilterDatabase" localSheetId="2" hidden="1">'Отлучки'!$A$1:$G$56</definedName>
    <definedName name="_xlnm.Print_Titles" localSheetId="2">'Отлучки'!$1:$1</definedName>
    <definedName name="_xlnm._FilterDatabase" localSheetId="3" hidden="1">'Интервалы'!$A$1:$G$57</definedName>
    <definedName name="_xlnm.Print_Titles" localSheetId="3">'Интервалы'!$1:$1</definedName>
    <definedName name="_xlnm._FilterDatabase" localSheetId="4" hidden="1">'Журнал'!$A$1:$F$153</definedName>
    <definedName name="_xlnm.Print_Titles" localSheetId="4">'Журнал'!$1:$1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 HH:MM:SS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1F2933"/>
      <sz val="11"/>
    </font>
    <font>
      <name val="Calibri"/>
      <color rgb="001F2933"/>
      <sz val="10"/>
    </font>
    <font>
      <name val="Calibri"/>
      <b val="1"/>
      <color rgb="001F4E79"/>
      <sz val="20"/>
    </font>
    <font>
      <name val="Calibri"/>
      <color rgb="0052606D"/>
      <sz val="11"/>
    </font>
    <font>
      <name val="Calibri"/>
      <b val="1"/>
      <color rgb="001F2933"/>
      <sz val="13"/>
    </font>
    <font>
      <name val="Calibri"/>
      <i val="1"/>
      <color rgb="0052606D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9C0006"/>
      <sz val="11"/>
    </font>
    <font>
      <name val="Calibri"/>
      <b val="1"/>
      <color rgb="00C65911"/>
      <sz val="11"/>
    </font>
    <font>
      <name val="Calibri"/>
      <b val="1"/>
      <color rgb="00006100"/>
      <sz val="11"/>
    </font>
    <font>
      <name val="Calibri"/>
      <color rgb="00806000"/>
      <sz val="11"/>
    </font>
    <font>
      <name val="Calibri"/>
      <b val="1"/>
      <color rgb="00FFFFFF"/>
      <sz val="10"/>
    </font>
    <font>
      <name val="Calibri"/>
      <i val="1"/>
      <color rgb="00666666"/>
      <sz val="11"/>
    </font>
    <font>
      <name val="Calibri"/>
      <color rgb="005B2C6F"/>
      <sz val="11"/>
    </font>
    <font>
      <name val="Calibri"/>
      <color rgb="001F2933"/>
      <sz val="12"/>
    </font>
  </fonts>
  <fills count="1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0F6F6A"/>
      </patternFill>
    </fill>
    <fill>
      <patternFill patternType="solid">
        <fgColor rgb="00F4C7C3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A33B32"/>
      </patternFill>
    </fill>
    <fill>
      <patternFill patternType="solid">
        <fgColor rgb="001E7A46"/>
      </patternFill>
    </fill>
    <fill>
      <patternFill patternType="solid">
        <fgColor rgb="008A6D1B"/>
      </patternFill>
    </fill>
    <fill>
      <patternFill patternType="solid">
        <fgColor rgb="00E7EEF5"/>
      </patternFill>
    </fill>
    <fill>
      <patternFill patternType="solid">
        <fgColor rgb="00D6EAF8"/>
      </patternFill>
    </fill>
    <fill>
      <patternFill patternType="solid">
        <fgColor rgb="00E2D5F1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 wrapText="1"/>
    </xf>
    <xf numFmtId="4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5" borderId="1" applyAlignment="1" pivotButton="0" quotePrefix="0" xfId="0">
      <alignment horizontal="left" vertical="center" wrapText="1"/>
    </xf>
    <xf numFmtId="46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left" vertical="center" wrapText="1"/>
    </xf>
    <xf numFmtId="46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9" fillId="7" borderId="1" applyAlignment="1" pivotButton="0" quotePrefix="0" xfId="0">
      <alignment horizontal="left" vertical="center" wrapText="1"/>
    </xf>
    <xf numFmtId="46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46" fontId="1" fillId="7" borderId="1" applyAlignment="1" pivotButton="0" quotePrefix="0" xfId="0">
      <alignment horizontal="center" vertical="center" wrapText="1"/>
    </xf>
    <xf numFmtId="46" fontId="1" fillId="6" borderId="1" applyAlignment="1" pivotButton="0" quotePrefix="0" xfId="0">
      <alignment horizontal="center" vertical="center" wrapText="1"/>
    </xf>
    <xf numFmtId="46" fontId="1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46" fontId="9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46" fontId="13" fillId="8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15" fillId="2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46" fontId="15" fillId="2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165" fontId="11" fillId="6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5" fontId="10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" fillId="13" borderId="1" pivotButton="0" quotePrefix="0" xfId="0"/>
    <xf numFmtId="0" fontId="1" fillId="13" borderId="1" applyAlignment="1" pivotButton="0" quotePrefix="0" xfId="0">
      <alignment horizontal="left" vertical="center" wrapText="1"/>
    </xf>
    <xf numFmtId="46" fontId="1" fillId="13" borderId="1" applyAlignment="1" pivotButton="0" quotePrefix="0" xfId="0">
      <alignment horizontal="center" vertical="center" wrapText="1"/>
    </xf>
    <xf numFmtId="166" fontId="1" fillId="1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165" fontId="9" fillId="2" borderId="1" applyAlignment="1" pivotButton="0" quotePrefix="0" xfId="0">
      <alignment horizontal="center" vertical="center" wrapText="1"/>
    </xf>
    <xf numFmtId="46" fontId="9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46" fontId="9" fillId="8" borderId="1" applyAlignment="1" pivotButton="0" quotePrefix="0" xfId="0">
      <alignment horizontal="center" vertical="center" wrapText="1"/>
    </xf>
    <xf numFmtId="46" fontId="9" fillId="14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46" fontId="9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5" fontId="9" fillId="5" borderId="1" applyAlignment="1" pivotButton="0" quotePrefix="0" xfId="0">
      <alignment horizontal="center" vertical="center" wrapText="1"/>
    </xf>
    <xf numFmtId="46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46" fontId="1" fillId="13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на рабочем месте и на территории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 графика'!B1</f>
            </strRef>
          </tx>
          <spPr>
            <a:solidFill>
              <a:srgbClr val="1E7A46"/>
            </a:solidFill>
            <a:ln>
              <a:solidFill>
                <a:srgbClr val="1E7A46"/>
              </a:solidFill>
              <a:prstDash val="solid"/>
            </a:ln>
          </spPr>
          <cat>
            <numRef>
              <f>'Данные графика'!$A$2:$A$16</f>
            </numRef>
          </cat>
          <val>
            <numRef>
              <f>'Данные графика'!$B$2:$B$16</f>
            </numRef>
          </val>
        </ser>
        <ser>
          <idx val="1"/>
          <order val="1"/>
          <tx>
            <strRef>
              <f>'Данные графика'!C1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'Данные графика'!$A$2:$A$16</f>
            </numRef>
          </cat>
          <val>
            <numRef>
              <f>'Данные графика'!$C$2:$C$16</f>
            </numRef>
          </val>
        </ser>
        <ser>
          <idx val="2"/>
          <order val="2"/>
          <tx>
            <strRef>
              <f>'Данные графика'!D1</f>
            </strRef>
          </tx>
          <spPr>
            <a:solidFill>
              <a:srgbClr val="BFBFBF"/>
            </a:solidFill>
            <a:ln>
              <a:solidFill>
                <a:srgbClr val="BFBFBF"/>
              </a:solidFill>
              <a:prstDash val="solid"/>
            </a:ln>
          </spPr>
          <cat>
            <numRef>
              <f>'Данные графика'!$A$2:$A$16</f>
            </numRef>
          </cat>
          <val>
            <numRef>
              <f>'Данные графика'!$D$2:$D$16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Часы</a:t>
                </a:r>
              </a:p>
            </rich>
          </tx>
        </title>
        <numFmt formatCode="0" sourceLinked="0"/>
        <majorTickMark val="none"/>
        <minorTickMark val="none"/>
        <crossAx val="10"/>
        <majorUnit val="2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Анализ</author>
  </authors>
  <commentList>
    <comment ref="I2" authorId="0" shapeId="0">
      <text>
        <t>На сколько первый вход в чистую зону позже начала смены (09:00 или 21:00). Ноль — сотрудник уже был на рабочем месте к началу смены.</t>
      </text>
    </comment>
    <comment ref="J2" authorId="0" shapeId="0">
      <text>
        <t>На сколько последний выход из чистой зоны раньше конца смены. Оранжевым выделен уход раньше чем на 1 минуту. Меньше минуты показано, но не считается нарушением.</t>
      </text>
    </comment>
    <comment ref="Q2" authorId="0" shapeId="0">
      <text>
        <t>Доля 12-часового графика, которую сотрудник провёл в чистой зоне. 100% было бы, если бы он не выходил из чистой зоны с начала и до конца смены.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57</row>
      <rowOff>0</rowOff>
    </from>
    <ext cx="100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G5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8" customWidth="1" min="3" max="3"/>
    <col width="28" customWidth="1" min="4" max="4"/>
    <col width="28" customWidth="1" min="5" max="5"/>
    <col width="36" customWidth="1" min="6" max="6"/>
    <col width="28" customWidth="1" min="7" max="7"/>
    <col width="3" customWidth="1" min="8" max="8"/>
  </cols>
  <sheetData>
    <row r="2" ht="28" customHeight="1">
      <c r="B2" s="1" t="inlineStr">
        <is>
          <t>Анализ нахождения сотрудника на рабочем месте</t>
        </is>
      </c>
    </row>
    <row r="3" ht="32" customHeight="1">
      <c r="B3" s="2" t="inlineStr">
        <is>
          <t>Журнал СКУД за 31.08.2026–30.09.2026. Рабочее место — дверь в чистую зону. Территория — турникет на проходной. Смена длится 12 часов: с 09:00 до 21:00 или с 21:00 до 09:00.</t>
        </is>
      </c>
    </row>
    <row r="5" ht="48" customHeight="1">
      <c r="B5" s="3" t="inlineStr">
        <is>
          <t>На рабочем месте (чистая зона) за 14 полностью наблюдаемых смен: 153 ч 16 мин 16 сек. На территории за 13 смен, где известны и вход, и выход через турникет: 165 ч 18 мин 28 сек.</t>
        </is>
      </c>
    </row>
    <row r="6" ht="32" customHeight="1">
      <c r="B6" s="4" t="inlineStr">
        <is>
          <t>Красным выделено опоздание на рабочее место, оранжевым — ранний уход раньше чем на 1 минуту. Жёлтая ячейка «Пояснение» стоит там, где есть такое отклонение или журнал неполный. Уход меньше чем на минуту раньше конца смены показан, но нарушением не считается.</t>
        </is>
      </c>
    </row>
    <row r="8" ht="24" customHeight="1">
      <c r="B8" s="5" t="inlineStr">
        <is>
          <t>Общее время</t>
        </is>
      </c>
      <c r="C8" s="6" t="n"/>
      <c r="D8" s="6" t="n"/>
      <c r="E8" s="6" t="n"/>
      <c r="F8" s="6" t="n"/>
      <c r="G8" s="6" t="n"/>
    </row>
    <row r="9" ht="22" customHeight="1">
      <c r="B9" s="7" t="inlineStr">
        <is>
          <t>Показатель</t>
        </is>
      </c>
      <c r="C9" s="7" t="inlineStr">
        <is>
          <t>Время</t>
        </is>
      </c>
      <c r="D9" s="7" t="inlineStr">
        <is>
          <t>Прописью</t>
        </is>
      </c>
      <c r="E9" s="7" t="inlineStr">
        <is>
          <t>Что входит</t>
        </is>
      </c>
      <c r="F9" s="8" t="n"/>
      <c r="G9" s="9" t="n"/>
    </row>
    <row r="10" ht="36" customHeight="1">
      <c r="B10" s="10" t="inlineStr">
        <is>
          <t>На рабочем месте</t>
        </is>
      </c>
      <c r="C10" s="11" t="n">
        <v>6.386296296296297</v>
      </c>
      <c r="D10" s="12" t="inlineStr">
        <is>
          <t>153 ч 16 мин 16 сек</t>
        </is>
      </c>
      <c r="E10" s="13" t="inlineStr">
        <is>
          <t>14 смен, у которых виден и первый вход в чистую зону, и последний выход. Это основной итог.</t>
        </is>
      </c>
      <c r="F10" s="14" t="n"/>
      <c r="G10" s="14" t="n"/>
    </row>
    <row r="11" ht="36" customHeight="1">
      <c r="B11" s="10" t="inlineStr">
        <is>
          <t>Из них внутри графика смены</t>
        </is>
      </c>
      <c r="C11" s="11" t="n">
        <v>6.278159722222222</v>
      </c>
      <c r="D11" s="12" t="inlineStr">
        <is>
          <t>150 ч 40 мин 33 сек</t>
        </is>
      </c>
      <c r="E11" s="13" t="inlineStr">
        <is>
          <t>То же время, но только между началом и концом смены. Минуты до начала и после конца сюда не входят.</t>
        </is>
      </c>
      <c r="F11" s="14" t="n"/>
      <c r="G11" s="14" t="n"/>
    </row>
    <row r="12" ht="36" customHeight="1">
      <c r="B12" s="10" t="inlineStr">
        <is>
          <t>На территории</t>
        </is>
      </c>
      <c r="C12" s="11" t="n">
        <v>6.887824074074074</v>
      </c>
      <c r="D12" s="12" t="inlineStr">
        <is>
          <t>165 ч 18 мин 28 сек</t>
        </is>
      </c>
      <c r="E12" s="13" t="inlineStr">
        <is>
          <t>13 смен с входом и выходом через турникет. Ночь 01–02.09 сюда не входит: входа через турникет в журнале нет.</t>
        </is>
      </c>
      <c r="F12" s="14" t="n"/>
      <c r="G12" s="14" t="n"/>
    </row>
    <row r="13" ht="36" customHeight="1">
      <c r="B13" s="10" t="inlineStr">
        <is>
          <t>На территории, но не на рабочем месте</t>
        </is>
      </c>
      <c r="C13" s="11" t="n">
        <v>0.9628587962962963</v>
      </c>
      <c r="D13" s="12" t="inlineStr">
        <is>
          <t>23 ч 6 мин 31 сек</t>
        </is>
      </c>
      <c r="E13" s="13" t="inlineStr">
        <is>
          <t>Разница двух строк выше по одним и тем же 13 сменам: гардероб, дорога от турникета и отлучки из чистой зоны, пока человек ещё на территории.</t>
        </is>
      </c>
      <c r="F13" s="14" t="n"/>
      <c r="G13" s="14" t="n"/>
    </row>
    <row r="14" ht="36" customHeight="1">
      <c r="B14" s="15" t="inlineStr">
        <is>
          <t>Опоздания на рабочее место</t>
        </is>
      </c>
      <c r="C14" s="16" t="n">
        <v>0.0008680555555555555</v>
      </c>
      <c r="D14" s="17" t="inlineStr">
        <is>
          <t>1 мин 15 сек</t>
        </is>
      </c>
      <c r="E14" s="18" t="inlineStr">
        <is>
          <t>1 смена. Считается от начала смены до первого входа в чистую зону, если этот вход позже графика хотя бы на 1 минуту.</t>
        </is>
      </c>
      <c r="F14" s="19" t="n"/>
      <c r="G14" s="19" t="n"/>
    </row>
    <row r="15" ht="36" customHeight="1">
      <c r="B15" s="20" t="inlineStr">
        <is>
          <t>Ранние уходы с рабочего места</t>
        </is>
      </c>
      <c r="C15" s="21" t="n">
        <v>0.03575231481481481</v>
      </c>
      <c r="D15" s="22" t="inlineStr">
        <is>
          <t>51 мин 29 сек</t>
        </is>
      </c>
      <c r="E15" s="23" t="inlineStr">
        <is>
          <t>9 смен. Считается от последнего выхода из чистой зоны до конца смены, если ушёл раньше хотя бы на 1 минуту.</t>
        </is>
      </c>
      <c r="F15" s="24" t="n"/>
      <c r="G15" s="24" t="n"/>
    </row>
    <row r="16" ht="36" customHeight="1">
      <c r="B16" s="10" t="inlineStr">
        <is>
          <t>Отлучки внутри смены</t>
        </is>
      </c>
      <c r="C16" s="11" t="n">
        <v>0.6851041666666666</v>
      </c>
      <c r="D16" s="12" t="inlineStr">
        <is>
          <t>16 ч 26 мин 33 сек</t>
        </is>
      </c>
      <c r="E16" s="13" t="inlineStr">
        <is>
          <t>По 14 полным сменам: вышел из чистой зоны и потом вернулся, не заканчивая смену. Территорию при этом не покидал.</t>
        </is>
      </c>
      <c r="F16" s="14" t="n"/>
      <c r="G16" s="14" t="n"/>
    </row>
    <row r="17" ht="24" customHeight="1">
      <c r="B17" s="25" t="inlineStr">
        <is>
          <t>Приход раньше начала смены</t>
        </is>
      </c>
      <c r="C17" s="26" t="n">
        <v>0.1030208333333333</v>
      </c>
      <c r="D17" s="27" t="inlineStr">
        <is>
          <t>2 ч 28 мин 21 сек</t>
        </is>
      </c>
      <c r="E17" s="28" t="inlineStr">
        <is>
          <t>Сколько времени уже был в чистой зоне до официального начала. Нарушением не является.</t>
        </is>
      </c>
      <c r="F17" s="29" t="n"/>
      <c r="G17" s="29" t="n"/>
    </row>
    <row r="18" ht="24" customHeight="1">
      <c r="B18" s="25" t="inlineStr">
        <is>
          <t>Уход позже конца смены</t>
        </is>
      </c>
      <c r="C18" s="26" t="n">
        <v>0.005115740740740741</v>
      </c>
      <c r="D18" s="27" t="inlineStr">
        <is>
          <t>7 мин 22 сек</t>
        </is>
      </c>
      <c r="E18" s="28" t="inlineStr">
        <is>
          <t>Сколько оставался в чистой зоне после официального конца. Нарушением не является.</t>
        </is>
      </c>
      <c r="F18" s="29" t="n"/>
      <c r="G18" s="29" t="n"/>
    </row>
    <row r="20" ht="32" customHeight="1">
      <c r="B20" s="4" t="inlineStr">
        <is>
          <t>Проверка по 14 сменам: график 168 ч = на рабочем месте внутри графика 150 ч 40 мин 33 сек + опоздания 1 мин 15 сек + ранние уходы 51 мин 39 сек (из них меньше минуты — 10 сек) + отлучки 16 ч 26 мин 33 сек.</t>
        </is>
      </c>
    </row>
    <row r="22" ht="24" customHeight="1">
      <c r="B22" s="5" t="inlineStr">
        <is>
          <t>В среднем на одну полную смену (12 часов)</t>
        </is>
      </c>
      <c r="C22" s="6" t="n"/>
      <c r="D22" s="6" t="n"/>
      <c r="E22" s="6" t="n"/>
      <c r="F22" s="6" t="n"/>
      <c r="G22" s="6" t="n"/>
    </row>
    <row r="23" ht="22" customHeight="1">
      <c r="B23" s="7" t="inlineStr">
        <is>
          <t>Показатель</t>
        </is>
      </c>
      <c r="C23" s="7" t="inlineStr">
        <is>
          <t>На рабочем месте</t>
        </is>
      </c>
      <c r="D23" s="7" t="inlineStr">
        <is>
          <t>Внутри графика</t>
        </is>
      </c>
      <c r="E23" s="7" t="inlineStr">
        <is>
          <t>Отлучки</t>
        </is>
      </c>
      <c r="F23" s="7" t="inlineStr">
        <is>
          <t>Ранний уход ≥ 1 мин</t>
        </is>
      </c>
      <c r="G23" s="7" t="inlineStr">
        <is>
          <t>Опоздание</t>
        </is>
      </c>
    </row>
    <row r="24" ht="24" customHeight="1">
      <c r="B24" s="10" t="inlineStr">
        <is>
          <t>Среднее, 14 смен</t>
        </is>
      </c>
      <c r="C24" s="30" t="n">
        <v>0.4561640211689815</v>
      </c>
      <c r="D24" s="11" t="n">
        <v>0.4484399801620371</v>
      </c>
      <c r="E24" s="11" t="n">
        <v>0.04893601190972222</v>
      </c>
      <c r="F24" s="31" t="n">
        <v>0.002553736770833333</v>
      </c>
      <c r="G24" s="32" t="n">
        <v>6.200396990740741e-05</v>
      </c>
    </row>
    <row r="25" ht="32" customHeight="1">
      <c r="B25" s="33" t="inlineStr">
        <is>
          <t>Внутри графика сотрудник проводил на рабочем месте 89.7% двенадцатичасовой смены. Остальное — отлучки из чистой зоны (9.8%), ранний уход (0.5%) и опоздание (1 мин 15 сек).</t>
        </is>
      </c>
    </row>
    <row r="27" ht="24" customHeight="1">
      <c r="B27" s="5" t="inlineStr">
        <is>
          <t>Меньше всего времени в чистой зоне</t>
        </is>
      </c>
      <c r="C27" s="6" t="n"/>
      <c r="D27" s="6" t="n"/>
      <c r="E27" s="6" t="n"/>
      <c r="F27" s="6" t="n"/>
      <c r="G27" s="6" t="n"/>
    </row>
    <row r="28" ht="22" customHeight="1">
      <c r="B28" s="7" t="inlineStr">
        <is>
          <t>Смена</t>
        </is>
      </c>
      <c r="C28" s="7" t="inlineStr">
        <is>
          <t>На рабочем месте</t>
        </is>
      </c>
      <c r="D28" s="7" t="inlineStr">
        <is>
          <t>Внутри графика</t>
        </is>
      </c>
      <c r="E28" s="7" t="inlineStr">
        <is>
          <t>Отлучки</t>
        </is>
      </c>
      <c r="F28" s="7" t="inlineStr">
        <is>
          <t>Начало и конец</t>
        </is>
      </c>
      <c r="G28" s="9" t="n"/>
    </row>
    <row r="29" ht="22" customHeight="1">
      <c r="B29" s="10" t="inlineStr">
        <is>
          <t>22.09 дневная (вт)</t>
        </is>
      </c>
      <c r="C29" s="11" t="n">
        <v>0.4089814814814815</v>
      </c>
      <c r="D29" s="34" t="n">
        <v>0.4060995370370371</v>
      </c>
      <c r="E29" s="34" t="n">
        <v>0.09390046296296296</v>
      </c>
      <c r="F29" s="27" t="inlineStr">
        <is>
          <t>Норма</t>
        </is>
      </c>
      <c r="G29" s="35" t="n"/>
    </row>
    <row r="30" ht="22" customHeight="1">
      <c r="B30" s="10" t="inlineStr">
        <is>
          <t>13.09 дневная (вс)</t>
        </is>
      </c>
      <c r="C30" s="11" t="n">
        <v>0.4413078703703704</v>
      </c>
      <c r="D30" s="34" t="n">
        <v>0.427962962962963</v>
      </c>
      <c r="E30" s="34" t="n">
        <v>0.06254629629629629</v>
      </c>
      <c r="F30" s="22" t="inlineStr">
        <is>
          <t>Ранний уход</t>
        </is>
      </c>
      <c r="G30" s="36" t="n"/>
    </row>
    <row r="31" ht="22" customHeight="1">
      <c r="B31" s="10" t="inlineStr">
        <is>
          <t>06.09 дневная (вс)</t>
        </is>
      </c>
      <c r="C31" s="11" t="n">
        <v>0.4431828703703704</v>
      </c>
      <c r="D31" s="34" t="n">
        <v>0.4366435185185185</v>
      </c>
      <c r="E31" s="34" t="n">
        <v>0.06335648148148149</v>
      </c>
      <c r="F31" s="27" t="inlineStr">
        <is>
          <t>Норма</t>
        </is>
      </c>
      <c r="G31" s="35" t="n"/>
    </row>
    <row r="32" ht="22" customHeight="1">
      <c r="B32" s="10" t="inlineStr">
        <is>
          <t>08.09–09.09 ночная (вт–ср)</t>
        </is>
      </c>
      <c r="C32" s="11" t="n">
        <v>0.4504282407407407</v>
      </c>
      <c r="D32" s="34" t="n">
        <v>0.4504282407407407</v>
      </c>
      <c r="E32" s="34" t="n">
        <v>0.04862268518518519</v>
      </c>
      <c r="F32" s="17" t="inlineStr">
        <is>
          <t>Опоздание</t>
        </is>
      </c>
      <c r="G32" s="37" t="n"/>
    </row>
    <row r="33" ht="22" customHeight="1">
      <c r="B33" s="10" t="inlineStr">
        <is>
          <t>05.09 дневная (сб)</t>
        </is>
      </c>
      <c r="C33" s="11" t="n">
        <v>0.451712962962963</v>
      </c>
      <c r="D33" s="34" t="n">
        <v>0.4421875</v>
      </c>
      <c r="E33" s="34" t="n">
        <v>0.0562962962962963</v>
      </c>
      <c r="F33" s="22" t="inlineStr">
        <is>
          <t>Ранний уход</t>
        </is>
      </c>
      <c r="G33" s="36" t="n"/>
    </row>
    <row r="34" ht="8" customHeight="1"/>
    <row r="35" ht="24" customHeight="1">
      <c r="B35" s="5" t="inlineStr">
        <is>
          <t>Где есть отклонение</t>
        </is>
      </c>
      <c r="C35" s="6" t="n"/>
      <c r="D35" s="6" t="n"/>
      <c r="E35" s="6" t="n"/>
      <c r="F35" s="6" t="n"/>
      <c r="G35" s="6" t="n"/>
    </row>
    <row r="36" ht="22" customHeight="1">
      <c r="B36" s="7" t="inlineStr">
        <is>
          <t>Смена</t>
        </is>
      </c>
      <c r="C36" s="7" t="inlineStr">
        <is>
          <t>График</t>
        </is>
      </c>
      <c r="D36" s="7" t="inlineStr">
        <is>
          <t>Опоздание</t>
        </is>
      </c>
      <c r="E36" s="7" t="inlineStr">
        <is>
          <t>Ранний уход</t>
        </is>
      </c>
      <c r="F36" s="7" t="inlineStr">
        <is>
          <t>Пояснение</t>
        </is>
      </c>
      <c r="G36" s="9" t="n"/>
    </row>
    <row r="37" ht="64" customHeight="1">
      <c r="B37" s="10" t="inlineStr">
        <is>
          <t>01.09–02.09 ночная (вт–ср)</t>
        </is>
      </c>
      <c r="C37" s="10" t="inlineStr">
        <is>
          <t>01.09.2026 21:00 – 02.09.2026 09:00</t>
        </is>
      </c>
      <c r="D37" s="11" t="n">
        <v>0</v>
      </c>
      <c r="E37" s="21" t="n">
        <v>0.003761574074074074</v>
      </c>
      <c r="F37" s="38" t="inlineStr">
        <is>
          <t>В журнале нет фактического входа через турникет, поэтому время на территории не посчитано. Ранний уход с рабочего места на 5 мин 25 сек: выход из чистой зоны в 08:54:35 при окончании смены в 09:00. Далее выход с территории в 09:31:02. К началу смены на рабочем месте уже был (вход в чистую зону в 20:45:29).</t>
        </is>
      </c>
      <c r="G37" s="39" t="n"/>
    </row>
    <row r="38" ht="48" customHeight="1">
      <c r="B38" s="10" t="inlineStr">
        <is>
          <t>05.09 дневная (сб)</t>
        </is>
      </c>
      <c r="C38" s="10" t="inlineStr">
        <is>
          <t>05.09.2026 09:00–21:00</t>
        </is>
      </c>
      <c r="D38" s="11" t="n">
        <v>0</v>
      </c>
      <c r="E38" s="21" t="n">
        <v>0.001516203703703704</v>
      </c>
      <c r="F38" s="38" t="inlineStr">
        <is>
          <t>Ранний уход с рабочего места на 2 мин 11 сек: выход из чистой зоны в 20:57:49 при окончании смены в 21:00. Далее выход с территории в 21:10:08. К началу смены на рабочем месте уже был (вход в чистую зону в 08:46:17).</t>
        </is>
      </c>
      <c r="G38" s="39" t="n"/>
    </row>
    <row r="39" ht="48" customHeight="1">
      <c r="B39" s="10" t="inlineStr">
        <is>
          <t>07.09–08.09 ночная (пн–вт)</t>
        </is>
      </c>
      <c r="C39" s="10" t="inlineStr">
        <is>
          <t>07.09.2026 21:00 – 08.09.2026 09:00</t>
        </is>
      </c>
      <c r="D39" s="11" t="n">
        <v>0</v>
      </c>
      <c r="E39" s="21" t="n">
        <v>0.002824074074074074</v>
      </c>
      <c r="F39" s="38" t="inlineStr">
        <is>
          <t>Ранний уход с рабочего места на 4 мин 4 сек: выход из чистой зоны в 08:55:56 при окончании смены в 09:00. Далее выход с территории в 09:09:24. К началу смены на рабочем месте уже был (вход в чистую зону в 20:54:07).</t>
        </is>
      </c>
      <c r="G39" s="39" t="n"/>
    </row>
    <row r="40" ht="48" customHeight="1">
      <c r="B40" s="10" t="inlineStr">
        <is>
          <t>08.09–09.09 ночная (вт–ср)</t>
        </is>
      </c>
      <c r="C40" s="10" t="inlineStr">
        <is>
          <t>08.09.2026 21:00 – 09.09.2026 09:00</t>
        </is>
      </c>
      <c r="D40" s="16" t="n">
        <v>0.0008680555555555555</v>
      </c>
      <c r="E40" s="40" t="n">
        <v>8.101851851851852e-05</v>
      </c>
      <c r="F40" s="38" t="inlineStr">
        <is>
          <t>Опоздание на рабочее место на 1 мин 15 сек: на территорию зашёл в 20:33:33, в гардероб — в 20:38:00, в чистую зону — в 21:01:15 при начале смены в 21:00. Выход из чистой зоны в 08:59:53 — на 7 сек раньше 09:00. Это меньше одной минуты и как нарушение не выделено.</t>
        </is>
      </c>
      <c r="G40" s="39" t="n"/>
    </row>
    <row r="41" ht="48" customHeight="1">
      <c r="B41" s="10" t="inlineStr">
        <is>
          <t>13.09 дневная (вс)</t>
        </is>
      </c>
      <c r="C41" s="10" t="inlineStr">
        <is>
          <t>13.09.2026 09:00–21:00</t>
        </is>
      </c>
      <c r="D41" s="11" t="n">
        <v>0</v>
      </c>
      <c r="E41" s="21" t="n">
        <v>0.009490740740740741</v>
      </c>
      <c r="F41" s="38" t="inlineStr">
        <is>
          <t>Ранний уход с рабочего места на 13 мин 40 сек: выход из чистой зоны в 20:46:20 при окончании смены в 21:00. Далее выход с территории в 21:01:29. К началу смены на рабочем месте уже был (вход в чистую зону в 08:40:47).</t>
        </is>
      </c>
      <c r="G41" s="39" t="n"/>
    </row>
    <row r="42" ht="48" customHeight="1">
      <c r="B42" s="10" t="inlineStr">
        <is>
          <t>24.09–25.09 ночная (чт–пт)</t>
        </is>
      </c>
      <c r="C42" s="10" t="inlineStr">
        <is>
          <t>24.09.2026 21:00 – 25.09.2026 09:00</t>
        </is>
      </c>
      <c r="D42" s="11" t="n">
        <v>0</v>
      </c>
      <c r="E42" s="21" t="n">
        <v>0.0007638888888888889</v>
      </c>
      <c r="F42" s="38" t="inlineStr">
        <is>
          <t>Ранний уход с рабочего места на 1 мин 6 сек: выход из чистой зоны в 08:58:54 при окончании смены в 09:00. Далее выход с территории в 09:14:29. К началу смены на рабочем месте уже был (вход в чистую зону в 20:43:27).</t>
        </is>
      </c>
      <c r="G42" s="39" t="n"/>
    </row>
    <row r="43" ht="48" customHeight="1">
      <c r="B43" s="10" t="inlineStr">
        <is>
          <t>25.09–26.09 ночная (пт–сб)</t>
        </is>
      </c>
      <c r="C43" s="10" t="inlineStr">
        <is>
          <t>25.09.2026 21:00 – 26.09.2026 09:00</t>
        </is>
      </c>
      <c r="D43" s="11" t="n">
        <v>0</v>
      </c>
      <c r="E43" s="21" t="n">
        <v>0.003935185185185185</v>
      </c>
      <c r="F43" s="38" t="inlineStr">
        <is>
          <t>Ранний уход с рабочего места на 5 мин 40 сек: выход из чистой зоны в 08:54:20 при окончании смены в 09:00. Далее выход с территории в 09:22:06. К началу смены на рабочем месте уже был (вход в чистую зону в 20:43:16).</t>
        </is>
      </c>
      <c r="G43" s="39" t="n"/>
    </row>
    <row r="44" ht="48" customHeight="1">
      <c r="B44" s="10" t="inlineStr">
        <is>
          <t>26.09–27.09 ночная (сб–вс)</t>
        </is>
      </c>
      <c r="C44" s="10" t="inlineStr">
        <is>
          <t>26.09.2026 21:00 – 27.09.2026 09:00</t>
        </is>
      </c>
      <c r="D44" s="11" t="n">
        <v>0</v>
      </c>
      <c r="E44" s="21" t="n">
        <v>0.002280092592592593</v>
      </c>
      <c r="F44" s="38" t="inlineStr">
        <is>
          <t>Ранний уход с рабочего места на 3 мин 17 сек: выход из чистой зоны в 08:56:43 при окончании смены в 09:00. Далее вход в гардероб в 09:03:26, выход с территории в 09:08:40. К началу смены на рабочем месте уже был (вход в чистую зону в 20:43:26).</t>
        </is>
      </c>
      <c r="G44" s="39" t="n"/>
    </row>
    <row r="45" ht="48" customHeight="1">
      <c r="B45" s="10" t="inlineStr">
        <is>
          <t>29.09 дневная (вт)</t>
        </is>
      </c>
      <c r="C45" s="10" t="inlineStr">
        <is>
          <t>29.09.2026 09:00–21:00</t>
        </is>
      </c>
      <c r="D45" s="11" t="n">
        <v>0</v>
      </c>
      <c r="E45" s="21" t="n">
        <v>0.00818287037037037</v>
      </c>
      <c r="F45" s="38" t="inlineStr">
        <is>
          <t>Ранний уход с рабочего места на 11 мин 47 сек: выход из чистой зоны в 20:48:13 при окончании смены в 21:00. Далее вход в гардероб в 20:55:34, выход с территории в 21:01:09. К началу смены на рабочем месте уже был (вход в чистую зону в 08:49:45).</t>
        </is>
      </c>
      <c r="G45" s="39" t="n"/>
    </row>
    <row r="46" ht="64" customHeight="1">
      <c r="B46" s="10" t="inlineStr">
        <is>
          <t>30.09 дневная (ср)</t>
        </is>
      </c>
      <c r="C46" s="10" t="inlineStr">
        <is>
          <t>30.09.2026 09:00–21:00</t>
        </is>
      </c>
      <c r="D46" s="11" t="n">
        <v>0</v>
      </c>
      <c r="E46" s="21" t="n">
        <v>0.002997685185185185</v>
      </c>
      <c r="F46" s="38" t="inlineStr">
        <is>
          <t>30.09.2026 в 08:29:40 турникет записал фактический выход за несколько секунд до входа. Предыдущая смена уже закрыта, предшествующего входа нет. Этот выход не засчитан как уход с территории: похоже на повторное срабатывание или сбой. Ранний уход с рабочего места на 4 мин 19 сек: выход из чистой зоны в 20:55:41 при окончании смены в 21:00. Далее вход в гардероб в 21:01:24, выход с территории в 21:06:07. К началу смены на рабочем месте уже был (вход в чистую зону в 08:49:59).</t>
        </is>
      </c>
      <c r="G46" s="39" t="n"/>
    </row>
    <row r="48" ht="36" customHeight="1">
      <c r="B48" s="41" t="inlineStr">
        <is>
          <t>Меньше одной минуты раньше конца смены (не выделено как нарушение): 31.08–01.09 ночная — 21 сек (выход в 08:59:39); 08.09–09.09 ночная — 7 сек (выход в 08:59:53); 14.09 дневная — 3 сек (выход в 20:59:57)</t>
        </is>
      </c>
      <c r="C48" s="42" t="n"/>
      <c r="D48" s="42" t="n"/>
      <c r="E48" s="42" t="n"/>
      <c r="F48" s="42" t="n"/>
      <c r="G48" s="42" t="n"/>
    </row>
    <row r="50" ht="24" customHeight="1">
      <c r="B50" s="5" t="inlineStr">
        <is>
          <t>Неполные и спорные записи</t>
        </is>
      </c>
      <c r="C50" s="6" t="n"/>
      <c r="D50" s="6" t="n"/>
      <c r="E50" s="6" t="n"/>
      <c r="F50" s="6" t="n"/>
      <c r="G50" s="6" t="n"/>
    </row>
    <row r="51" ht="48" customHeight="1">
      <c r="B51" s="43" t="inlineStr">
        <is>
          <t>Ночь 31.08–01.09</t>
        </is>
      </c>
      <c r="C51" s="44" t="inlineStr">
        <is>
          <t>Журнал начинается уже с выхода из чистой зоны в 05:09:25. Сколько сотрудник провёл на рабочем месте до этого момента, неизвестно. После возвращения в 05:44:19 он был в чистой зоне ещё 3 ч 15 мин 20 сек и вышел в 08:59:39 — на 21 сек раньше 09:00. Этот фрагмент не входит в общий итог времени.</t>
        </is>
      </c>
      <c r="D51" s="45" t="n"/>
      <c r="E51" s="45" t="n"/>
      <c r="F51" s="45" t="n"/>
      <c r="G51" s="45" t="n"/>
    </row>
    <row r="52" ht="48" customHeight="1">
      <c r="B52" s="43" t="inlineStr">
        <is>
          <t>Ночь 01.09–02.09</t>
        </is>
      </c>
      <c r="C52" s="44" t="inlineStr">
        <is>
          <t>Время на рабочем месте посчитано полностью (вход в чистую зону в 20:45:29, выход в 08:54:35). Фактического входа через турникет в журнале нет, есть только выход в 09:31:02, поэтому время на территории за эту смену неизвестно и в итог территории не входит.</t>
        </is>
      </c>
      <c r="D52" s="45" t="n"/>
      <c r="E52" s="45" t="n"/>
      <c r="F52" s="45" t="n"/>
      <c r="G52" s="45" t="n"/>
    </row>
    <row r="53" ht="48" customHeight="1">
      <c r="B53" s="43" t="inlineStr">
        <is>
          <t>Утро 30.09</t>
        </is>
      </c>
      <c r="C53" s="44" t="inlineStr">
        <is>
          <t>В 08:29:40 турникет записал фактический выход, а в 08:29:48 — фактический вход. Смена 29.09 уже была закрыта выходом в 21:01:09. Утренний «выход» не используется. Время на территории 30.09 считается от входа в 08:29:48 до выхода в 21:06:07.</t>
        </is>
      </c>
      <c r="D53" s="45" t="n"/>
      <c r="E53" s="45" t="n"/>
      <c r="F53" s="45" t="n"/>
      <c r="G53" s="45" t="n"/>
    </row>
    <row r="54" ht="48" customHeight="1">
      <c r="B54" s="43" t="inlineStr">
        <is>
          <t>Дни без записей</t>
        </is>
      </c>
      <c r="C54" s="44" t="inlineStr">
        <is>
          <t>В выгрузке нет ни одного события за 03–04.09, 11–12.09, 15–21.09, 23.09 и 28.09, а также за начало смены 31.08. Это не записано как отсутствие: по этим датам журнал просто ничего не содержит.</t>
        </is>
      </c>
      <c r="D54" s="45" t="n"/>
      <c r="E54" s="45" t="n"/>
      <c r="F54" s="45" t="n"/>
      <c r="G54" s="45" t="n"/>
    </row>
    <row r="57">
      <c r="B57" s="46" t="inlineStr">
        <is>
          <t>Часы по сменам. Звёздочка у 31.08–01.09 — неполная смена, в общий итог не входит. Пустой столбец территории — нет входа через турникет.</t>
        </is>
      </c>
    </row>
  </sheetData>
  <mergeCells count="44">
    <mergeCell ref="B2:G2"/>
    <mergeCell ref="E10:G10"/>
    <mergeCell ref="E13:G13"/>
    <mergeCell ref="F29:G29"/>
    <mergeCell ref="B57:G57"/>
    <mergeCell ref="B8:G8"/>
    <mergeCell ref="E9:G9"/>
    <mergeCell ref="F40:G40"/>
    <mergeCell ref="E15:G15"/>
    <mergeCell ref="F30:G30"/>
    <mergeCell ref="E11:G11"/>
    <mergeCell ref="C54:G54"/>
    <mergeCell ref="F33:G33"/>
    <mergeCell ref="F45:G45"/>
    <mergeCell ref="F36:G36"/>
    <mergeCell ref="F42:G42"/>
    <mergeCell ref="F32:G32"/>
    <mergeCell ref="F41:G41"/>
    <mergeCell ref="E16:G16"/>
    <mergeCell ref="B6:G6"/>
    <mergeCell ref="B20:G20"/>
    <mergeCell ref="B5:G5"/>
    <mergeCell ref="F38:G38"/>
    <mergeCell ref="C51:G51"/>
    <mergeCell ref="F31:G31"/>
    <mergeCell ref="B35:G35"/>
    <mergeCell ref="E12:G12"/>
    <mergeCell ref="E18:G18"/>
    <mergeCell ref="F28:G28"/>
    <mergeCell ref="F46:G46"/>
    <mergeCell ref="B50:G50"/>
    <mergeCell ref="C52:G52"/>
    <mergeCell ref="B25:G25"/>
    <mergeCell ref="B3:G3"/>
    <mergeCell ref="F43:G43"/>
    <mergeCell ref="F37:G37"/>
    <mergeCell ref="F39:G39"/>
    <mergeCell ref="E14:G14"/>
    <mergeCell ref="B22:G22"/>
    <mergeCell ref="B27:G27"/>
    <mergeCell ref="E17:G17"/>
    <mergeCell ref="C53:G53"/>
    <mergeCell ref="B48:G48"/>
    <mergeCell ref="F44:G44"/>
  </mergeCells>
  <printOptions horizontalCentered="1"/>
  <pageMargins left="0.4" right="0.4" top="0.6" bottom="0.5" header="0.5" footer="0.5"/>
  <pageSetup orientation="landscape" paperSize="8" fitToHeight="1" fitToWidth="1"/>
  <headerFooter>
    <oddHeader/>
    <oddFooter>&amp;LКрасный — опоздание, оранжевый — ранний уход от 1 минуты&amp;RСтр.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zoomScale="11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22" customWidth="1" min="4" max="4"/>
    <col width="22" customWidth="1" min="5" max="5"/>
    <col width="18" customWidth="1" min="6" max="6"/>
    <col width="24" customWidth="1" min="7" max="7"/>
    <col width="24" customWidth="1" min="8" max="8"/>
    <col width="14" customWidth="1" min="9" max="9"/>
    <col width="14" customWidth="1" min="10" max="10"/>
    <col width="20" customWidth="1" min="11" max="11"/>
    <col width="20" customWidth="1" min="12" max="12"/>
    <col width="18" customWidth="1" min="13" max="13"/>
    <col width="16" customWidth="1" min="14" max="14"/>
    <col width="18" customWidth="1" min="15" max="15"/>
    <col width="20" customWidth="1" min="16" max="16"/>
    <col width="18" customWidth="1" min="17" max="17"/>
    <col width="22" customWidth="1" min="18" max="18"/>
    <col width="46" customWidth="1" min="19" max="19"/>
    <col width="62" customWidth="1" min="20" max="20"/>
  </cols>
  <sheetData>
    <row r="1" ht="22" customHeight="1">
      <c r="A1" s="47" t="inlineStr">
        <is>
          <t>Смена</t>
        </is>
      </c>
      <c r="B1" s="47" t="n"/>
      <c r="C1" s="47" t="n"/>
      <c r="D1" s="47" t="inlineStr">
        <is>
          <t>Территория (турникет)</t>
        </is>
      </c>
      <c r="E1" s="47" t="n"/>
      <c r="F1" s="47" t="n"/>
      <c r="G1" s="48" t="inlineStr">
        <is>
          <t>Рабочее место: приход и уход</t>
        </is>
      </c>
      <c r="H1" s="48" t="n"/>
      <c r="I1" s="49" t="inlineStr">
        <is>
          <t>Отклонения от графика</t>
        </is>
      </c>
      <c r="J1" s="49" t="n"/>
      <c r="K1" s="49" t="n"/>
      <c r="L1" s="50" t="inlineStr">
        <is>
          <t>Сколько был на рабочем месте</t>
        </is>
      </c>
      <c r="M1" s="50" t="n"/>
      <c r="N1" s="50" t="n"/>
      <c r="O1" s="50" t="n"/>
      <c r="P1" s="50" t="n"/>
      <c r="Q1" s="50" t="n"/>
      <c r="R1" s="48" t="inlineStr">
        <is>
          <t>Вне чистой зоны</t>
        </is>
      </c>
      <c r="S1" s="51" t="inlineStr">
        <is>
          <t>Комментарии</t>
        </is>
      </c>
      <c r="T1" s="51" t="n"/>
    </row>
    <row r="2" ht="36" customHeight="1">
      <c r="A2" s="47" t="inlineStr">
        <is>
          <t>№</t>
        </is>
      </c>
      <c r="B2" s="47" t="inlineStr">
        <is>
          <t>Смена</t>
        </is>
      </c>
      <c r="C2" s="47" t="inlineStr">
        <is>
          <t>График</t>
        </is>
      </c>
      <c r="D2" s="47" t="inlineStr">
        <is>
          <t>Вход на территорию</t>
        </is>
      </c>
      <c r="E2" s="47" t="inlineStr">
        <is>
          <t>Выход с территории</t>
        </is>
      </c>
      <c r="F2" s="47" t="inlineStr">
        <is>
          <t>Время на территории</t>
        </is>
      </c>
      <c r="G2" s="48" t="inlineStr">
        <is>
          <t>Приход на рабочее место</t>
        </is>
      </c>
      <c r="H2" s="48" t="inlineStr">
        <is>
          <t>Уход с рабочего места</t>
        </is>
      </c>
      <c r="I2" s="49" t="inlineStr">
        <is>
          <t>Опоздание</t>
        </is>
      </c>
      <c r="J2" s="49" t="inlineStr">
        <is>
          <t>Ранний уход</t>
        </is>
      </c>
      <c r="K2" s="49" t="inlineStr">
        <is>
          <t>Статус</t>
        </is>
      </c>
      <c r="L2" s="50" t="inlineStr">
        <is>
          <t>Время на рабочем месте</t>
        </is>
      </c>
      <c r="M2" s="50" t="inlineStr">
        <is>
          <t>В пределах графика</t>
        </is>
      </c>
      <c r="N2" s="50" t="inlineStr">
        <is>
          <t>До начала смены</t>
        </is>
      </c>
      <c r="O2" s="50" t="inlineStr">
        <is>
          <t>После конца смены</t>
        </is>
      </c>
      <c r="P2" s="50" t="inlineStr">
        <is>
          <t>Отлучки внутри смены</t>
        </is>
      </c>
      <c r="Q2" s="50" t="inlineStr">
        <is>
          <t>Доля графика на рабочем месте</t>
        </is>
      </c>
      <c r="R2" s="48" t="inlineStr">
        <is>
          <t>На территории вне рабочего места</t>
        </is>
      </c>
      <c r="S2" s="51" t="inlineStr">
        <is>
          <t>Отлучки от 10 минут</t>
        </is>
      </c>
      <c r="T2" s="51" t="inlineStr">
        <is>
          <t>Пояснение</t>
        </is>
      </c>
    </row>
    <row r="3" ht="78" customHeight="1">
      <c r="A3" s="52" t="n">
        <v>1</v>
      </c>
      <c r="B3" s="10" t="inlineStr">
        <is>
          <t>31.08–01.09 ночная (пн–вт) *</t>
        </is>
      </c>
      <c r="C3" s="10" t="inlineStr">
        <is>
          <t>31.08.2026 21:00 – 01.09.2026 09:00</t>
        </is>
      </c>
      <c r="D3" s="53" t="inlineStr">
        <is>
          <t>нет в журнале</t>
        </is>
      </c>
      <c r="E3" s="54" t="n">
        <v>46266.38446759259</v>
      </c>
      <c r="F3" s="55" t="n"/>
      <c r="G3" s="54" t="n">
        <v>46266.2391087963</v>
      </c>
      <c r="H3" s="56" t="n">
        <v>46266.37475694445</v>
      </c>
      <c r="I3" s="55" t="n"/>
      <c r="J3" s="40" t="n">
        <v>0.0002430555555555555</v>
      </c>
      <c r="K3" s="57" t="inlineStr">
        <is>
          <t>Неполные данные</t>
        </is>
      </c>
      <c r="L3" s="34" t="n">
        <v>0.1356481481481482</v>
      </c>
      <c r="M3" s="55" t="n"/>
      <c r="N3" s="55" t="n"/>
      <c r="O3" s="55" t="n"/>
      <c r="P3" s="55" t="n"/>
      <c r="Q3" s="58" t="n"/>
      <c r="R3" s="55" t="n"/>
      <c r="S3" s="10" t="inlineStr">
        <is>
          <t>—</t>
        </is>
      </c>
      <c r="T3" s="59" t="inlineStr">
        <is>
          <t>В журнале только окончание ночной смены: нет входа через турникет и неизвестно, когда сотрудник впервые зашёл в чистую зону. Время на рабочем месте до выхода в 05:09:25 не посчитано. Выход из чистой зоны в 08:59:39 — на 21 сек раньше 09:00. Это меньше одной минуты и как нарушение не выделено.</t>
        </is>
      </c>
    </row>
    <row r="4" ht="78" customHeight="1">
      <c r="A4" s="52" t="n">
        <v>2</v>
      </c>
      <c r="B4" s="10" t="inlineStr">
        <is>
          <t>01.09–02.09 ночная (вт–ср)</t>
        </is>
      </c>
      <c r="C4" s="10" t="inlineStr">
        <is>
          <t>01.09.2026 21:00 – 02.09.2026 09:00</t>
        </is>
      </c>
      <c r="D4" s="53" t="inlineStr">
        <is>
          <t>нет в журнале</t>
        </is>
      </c>
      <c r="E4" s="54" t="n">
        <v>46267.39655092593</v>
      </c>
      <c r="F4" s="55" t="n"/>
      <c r="G4" s="56" t="n">
        <v>46266.86491898148</v>
      </c>
      <c r="H4" s="60" t="n">
        <v>46267.37123842593</v>
      </c>
      <c r="I4" s="34" t="n">
        <v>0</v>
      </c>
      <c r="J4" s="21" t="n">
        <v>0.003761574074074074</v>
      </c>
      <c r="K4" s="22" t="inlineStr">
        <is>
          <t>Ранний уход</t>
        </is>
      </c>
      <c r="L4" s="34" t="n">
        <v>0.4613310185185185</v>
      </c>
      <c r="M4" s="34" t="n">
        <v>0.45125</v>
      </c>
      <c r="N4" s="34" t="n">
        <v>0.01008101851851852</v>
      </c>
      <c r="O4" s="34" t="n">
        <v>0</v>
      </c>
      <c r="P4" s="34" t="n">
        <v>0.04498842592592592</v>
      </c>
      <c r="Q4" s="61" t="n">
        <v>0.9025</v>
      </c>
      <c r="R4" s="55" t="n"/>
      <c r="S4" s="10" t="inlineStr">
        <is>
          <t>22:18:37–22:41:15 (22 мин 38 сек); 07:03:48–07:44:49 (41 мин 1 сек)</t>
        </is>
      </c>
      <c r="T4" s="59" t="inlineStr">
        <is>
          <t>В журнале нет фактического входа через турникет, поэтому время на территории не посчитано. Ранний уход с рабочего места на 5 мин 25 сек: выход из чистой зоны в 08:54:35 при окончании смены в 09:00. Далее выход с территории в 09:31:02. К началу смены на рабочем месте уже был (вход в чистую зону в 20:45:29).</t>
        </is>
      </c>
    </row>
    <row r="5" ht="78" customHeight="1">
      <c r="A5" s="52" t="n">
        <v>3</v>
      </c>
      <c r="B5" s="10" t="inlineStr">
        <is>
          <t>05.09 дневная (сб)</t>
        </is>
      </c>
      <c r="C5" s="10" t="inlineStr">
        <is>
          <t>05.09.2026 09:00–21:00</t>
        </is>
      </c>
      <c r="D5" s="54" t="n">
        <v>46270.35127314815</v>
      </c>
      <c r="E5" s="54" t="n">
        <v>46270.88203703704</v>
      </c>
      <c r="F5" s="34" t="n">
        <v>0.5307638888888889</v>
      </c>
      <c r="G5" s="56" t="n">
        <v>46270.36547453704</v>
      </c>
      <c r="H5" s="60" t="n">
        <v>46270.8734837963</v>
      </c>
      <c r="I5" s="34" t="n">
        <v>0</v>
      </c>
      <c r="J5" s="21" t="n">
        <v>0.001516203703703704</v>
      </c>
      <c r="K5" s="22" t="inlineStr">
        <is>
          <t>Ранний уход</t>
        </is>
      </c>
      <c r="L5" s="34" t="n">
        <v>0.451712962962963</v>
      </c>
      <c r="M5" s="34" t="n">
        <v>0.4421875</v>
      </c>
      <c r="N5" s="34" t="n">
        <v>0.009525462962962963</v>
      </c>
      <c r="O5" s="34" t="n">
        <v>0</v>
      </c>
      <c r="P5" s="34" t="n">
        <v>0.0562962962962963</v>
      </c>
      <c r="Q5" s="61" t="n">
        <v>0.884375</v>
      </c>
      <c r="R5" s="34" t="n">
        <v>0.07905092592592593</v>
      </c>
      <c r="S5" s="10" t="inlineStr">
        <is>
          <t>12:14:49–12:30:59 (16 мин 10 сек); 16:07:12–16:39:43 (32 мин 31 сек); 19:09:47–19:42:10 (32 мин 23 сек)</t>
        </is>
      </c>
      <c r="T5" s="59" t="inlineStr">
        <is>
          <t>Ранний уход с рабочего места на 2 мин 11 сек: выход из чистой зоны в 20:57:49 при окончании смены в 21:00. Далее выход с территории в 21:10:08. К началу смены на рабочем месте уже был (вход в чистую зону в 08:46:17).</t>
        </is>
      </c>
    </row>
    <row r="6" ht="34" customHeight="1">
      <c r="A6" s="52" t="n">
        <v>4</v>
      </c>
      <c r="B6" s="10" t="inlineStr">
        <is>
          <t>06.09 дневная (вс)</t>
        </is>
      </c>
      <c r="C6" s="10" t="inlineStr">
        <is>
          <t>06.09.2026 09:00–21:00</t>
        </is>
      </c>
      <c r="D6" s="54" t="n">
        <v>46271.35083333333</v>
      </c>
      <c r="E6" s="54" t="n">
        <v>46271.88648148148</v>
      </c>
      <c r="F6" s="34" t="n">
        <v>0.5356481481481481</v>
      </c>
      <c r="G6" s="56" t="n">
        <v>46271.37086805556</v>
      </c>
      <c r="H6" s="56" t="n">
        <v>46271.87740740741</v>
      </c>
      <c r="I6" s="34" t="n">
        <v>0</v>
      </c>
      <c r="J6" s="26" t="n">
        <v>0</v>
      </c>
      <c r="K6" s="27" t="inlineStr">
        <is>
          <t>Норма</t>
        </is>
      </c>
      <c r="L6" s="34" t="n">
        <v>0.4431828703703704</v>
      </c>
      <c r="M6" s="34" t="n">
        <v>0.4366435185185185</v>
      </c>
      <c r="N6" s="34" t="n">
        <v>0.004131944444444444</v>
      </c>
      <c r="O6" s="34" t="n">
        <v>0.002407407407407408</v>
      </c>
      <c r="P6" s="34" t="n">
        <v>0.06335648148148149</v>
      </c>
      <c r="Q6" s="61" t="n">
        <v>0.873287037037037</v>
      </c>
      <c r="R6" s="34" t="n">
        <v>0.09246527777777777</v>
      </c>
      <c r="S6" s="10" t="inlineStr">
        <is>
          <t>12:56:10–13:51:29 (55 мин 19 сек); 18:57:09–19:32:14 (35 мин 5 сек)</t>
        </is>
      </c>
      <c r="T6" s="62" t="inlineStr">
        <is>
          <t>—</t>
        </is>
      </c>
    </row>
    <row r="7" ht="78" customHeight="1">
      <c r="A7" s="52" t="n">
        <v>5</v>
      </c>
      <c r="B7" s="10" t="inlineStr">
        <is>
          <t>07.09–08.09 ночная (пн–вт)</t>
        </is>
      </c>
      <c r="C7" s="10" t="inlineStr">
        <is>
          <t>07.09.2026 21:00 – 08.09.2026 09:00</t>
        </is>
      </c>
      <c r="D7" s="54" t="n">
        <v>46272.85430555556</v>
      </c>
      <c r="E7" s="54" t="n">
        <v>46273.38152777778</v>
      </c>
      <c r="F7" s="34" t="n">
        <v>0.5272222222222223</v>
      </c>
      <c r="G7" s="56" t="n">
        <v>46272.87091435185</v>
      </c>
      <c r="H7" s="60" t="n">
        <v>46273.37217592593</v>
      </c>
      <c r="I7" s="34" t="n">
        <v>0</v>
      </c>
      <c r="J7" s="21" t="n">
        <v>0.002824074074074074</v>
      </c>
      <c r="K7" s="22" t="inlineStr">
        <is>
          <t>Ранний уход</t>
        </is>
      </c>
      <c r="L7" s="34" t="n">
        <v>0.4694560185185185</v>
      </c>
      <c r="M7" s="34" t="n">
        <v>0.4653703703703704</v>
      </c>
      <c r="N7" s="34" t="n">
        <v>0.004085648148148148</v>
      </c>
      <c r="O7" s="34" t="n">
        <v>0</v>
      </c>
      <c r="P7" s="34" t="n">
        <v>0.03180555555555555</v>
      </c>
      <c r="Q7" s="61" t="n">
        <v>0.9307407407407408</v>
      </c>
      <c r="R7" s="34" t="n">
        <v>0.0577662037037037</v>
      </c>
      <c r="S7" s="10" t="inlineStr">
        <is>
          <t>01:21:48–01:34:00 (12 мин 12 сек); 06:16:18–06:47:24 (31 мин 6 сек)</t>
        </is>
      </c>
      <c r="T7" s="59" t="inlineStr">
        <is>
          <t>Ранний уход с рабочего места на 4 мин 4 сек: выход из чистой зоны в 08:55:56 при окончании смены в 09:00. Далее выход с территории в 09:09:24. К началу смены на рабочем месте уже был (вход в чистую зону в 20:54:07).</t>
        </is>
      </c>
    </row>
    <row r="8" ht="78" customHeight="1">
      <c r="A8" s="52" t="n">
        <v>6</v>
      </c>
      <c r="B8" s="10" t="inlineStr">
        <is>
          <t>08.09–09.09 ночная (вт–ср)</t>
        </is>
      </c>
      <c r="C8" s="10" t="inlineStr">
        <is>
          <t>08.09.2026 21:00 – 09.09.2026 09:00</t>
        </is>
      </c>
      <c r="D8" s="54" t="n">
        <v>46273.85663194444</v>
      </c>
      <c r="E8" s="54" t="n">
        <v>46274.38196759259</v>
      </c>
      <c r="F8" s="34" t="n">
        <v>0.5253356481481481</v>
      </c>
      <c r="G8" s="63" t="n">
        <v>46273.87586805555</v>
      </c>
      <c r="H8" s="56" t="n">
        <v>46274.37491898148</v>
      </c>
      <c r="I8" s="16" t="n">
        <v>0.0008680555555555555</v>
      </c>
      <c r="J8" s="40" t="n">
        <v>8.101851851851852e-05</v>
      </c>
      <c r="K8" s="17" t="inlineStr">
        <is>
          <t>Опоздание</t>
        </is>
      </c>
      <c r="L8" s="34" t="n">
        <v>0.4504282407407407</v>
      </c>
      <c r="M8" s="34" t="n">
        <v>0.4504282407407407</v>
      </c>
      <c r="N8" s="34" t="n">
        <v>0</v>
      </c>
      <c r="O8" s="34" t="n">
        <v>0</v>
      </c>
      <c r="P8" s="34" t="n">
        <v>0.04862268518518519</v>
      </c>
      <c r="Q8" s="61" t="n">
        <v>0.9008564814814815</v>
      </c>
      <c r="R8" s="34" t="n">
        <v>0.07490740740740741</v>
      </c>
      <c r="S8" s="10" t="inlineStr">
        <is>
          <t>03:04:43–03:44:44 (40 мин 1 сек); 07:20:09–07:50:09 (30 мин)</t>
        </is>
      </c>
      <c r="T8" s="59" t="inlineStr">
        <is>
          <t>Опоздание на рабочее место на 1 мин 15 сек: на территорию зашёл в 20:33:33, в гардероб — в 20:38:00, в чистую зону — в 21:01:15 при начале смены в 21:00. Выход из чистой зоны в 08:59:53 — на 7 сек раньше 09:00. Это меньше одной минуты и как нарушение не выделено.</t>
        </is>
      </c>
    </row>
    <row r="9" ht="34" customHeight="1">
      <c r="A9" s="52" t="n">
        <v>7</v>
      </c>
      <c r="B9" s="10" t="inlineStr">
        <is>
          <t>09.09–10.09 ночная (ср–чт)</t>
        </is>
      </c>
      <c r="C9" s="10" t="inlineStr">
        <is>
          <t>09.09.2026 21:00 – 10.09.2026 09:00</t>
        </is>
      </c>
      <c r="D9" s="54" t="n">
        <v>46274.85133101852</v>
      </c>
      <c r="E9" s="54" t="n">
        <v>46275.38465277778</v>
      </c>
      <c r="F9" s="34" t="n">
        <v>0.5333217592592593</v>
      </c>
      <c r="G9" s="56" t="n">
        <v>46274.86817129629</v>
      </c>
      <c r="H9" s="56" t="n">
        <v>46275.37524305555</v>
      </c>
      <c r="I9" s="34" t="n">
        <v>0</v>
      </c>
      <c r="J9" s="26" t="n">
        <v>0</v>
      </c>
      <c r="K9" s="27" t="inlineStr">
        <is>
          <t>Норма</t>
        </is>
      </c>
      <c r="L9" s="34" t="n">
        <v>0.4523611111111111</v>
      </c>
      <c r="M9" s="34" t="n">
        <v>0.4452893518518519</v>
      </c>
      <c r="N9" s="34" t="n">
        <v>0.006828703703703704</v>
      </c>
      <c r="O9" s="34" t="n">
        <v>0.0002430555555555555</v>
      </c>
      <c r="P9" s="34" t="n">
        <v>0.05471064814814815</v>
      </c>
      <c r="Q9" s="61" t="n">
        <v>0.8905787037037037</v>
      </c>
      <c r="R9" s="34" t="n">
        <v>0.08096064814814814</v>
      </c>
      <c r="S9" s="10" t="inlineStr">
        <is>
          <t>01:46:45–02:34:21 (47 мин 36 сек); 07:24:35–07:55:46 (31 мин 11 сек)</t>
        </is>
      </c>
      <c r="T9" s="62" t="inlineStr">
        <is>
          <t>—</t>
        </is>
      </c>
    </row>
    <row r="10" ht="78" customHeight="1">
      <c r="A10" s="52" t="n">
        <v>8</v>
      </c>
      <c r="B10" s="10" t="inlineStr">
        <is>
          <t>13.09 дневная (вс)</t>
        </is>
      </c>
      <c r="C10" s="10" t="inlineStr">
        <is>
          <t>13.09.2026 09:00–21:00</t>
        </is>
      </c>
      <c r="D10" s="54" t="n">
        <v>46278.34878472222</v>
      </c>
      <c r="E10" s="54" t="n">
        <v>46278.87603009259</v>
      </c>
      <c r="F10" s="34" t="n">
        <v>0.5272453703703703</v>
      </c>
      <c r="G10" s="56" t="n">
        <v>46278.36165509259</v>
      </c>
      <c r="H10" s="60" t="n">
        <v>46278.86550925926</v>
      </c>
      <c r="I10" s="34" t="n">
        <v>0</v>
      </c>
      <c r="J10" s="21" t="n">
        <v>0.009490740740740741</v>
      </c>
      <c r="K10" s="22" t="inlineStr">
        <is>
          <t>Ранний уход</t>
        </is>
      </c>
      <c r="L10" s="34" t="n">
        <v>0.4413078703703704</v>
      </c>
      <c r="M10" s="34" t="n">
        <v>0.427962962962963</v>
      </c>
      <c r="N10" s="34" t="n">
        <v>0.01334490740740741</v>
      </c>
      <c r="O10" s="34" t="n">
        <v>0</v>
      </c>
      <c r="P10" s="34" t="n">
        <v>0.06254629629629629</v>
      </c>
      <c r="Q10" s="61" t="n">
        <v>0.855925925925926</v>
      </c>
      <c r="R10" s="34" t="n">
        <v>0.0859375</v>
      </c>
      <c r="S10" s="10" t="inlineStr">
        <is>
          <t>12:06:07–13:02:17 (56 мин 10 сек); 18:26:04–18:37:13 (11 мин 9 сек); 18:37:34–18:56:32 (18 мин 58 сек)</t>
        </is>
      </c>
      <c r="T10" s="59" t="inlineStr">
        <is>
          <t>Ранний уход с рабочего места на 13 мин 40 сек: выход из чистой зоны в 20:46:20 при окончании смены в 21:00. Далее выход с территории в 21:01:29. К началу смены на рабочем месте уже был (вход в чистую зону в 08:40:47).</t>
        </is>
      </c>
    </row>
    <row r="11" ht="50" customHeight="1">
      <c r="A11" s="52" t="n">
        <v>9</v>
      </c>
      <c r="B11" s="10" t="inlineStr">
        <is>
          <t>14.09 дневная (пн)</t>
        </is>
      </c>
      <c r="C11" s="10" t="inlineStr">
        <is>
          <t>14.09.2026 09:00–21:00</t>
        </is>
      </c>
      <c r="D11" s="54" t="n">
        <v>46279.35353009259</v>
      </c>
      <c r="E11" s="54" t="n">
        <v>46279.88513888889</v>
      </c>
      <c r="F11" s="34" t="n">
        <v>0.5316087962962963</v>
      </c>
      <c r="G11" s="56" t="n">
        <v>46279.36908564815</v>
      </c>
      <c r="H11" s="56" t="n">
        <v>46279.87496527778</v>
      </c>
      <c r="I11" s="34" t="n">
        <v>0</v>
      </c>
      <c r="J11" s="40" t="n">
        <v>3.472222222222222e-05</v>
      </c>
      <c r="K11" s="27" t="inlineStr">
        <is>
          <t>Норма</t>
        </is>
      </c>
      <c r="L11" s="34" t="n">
        <v>0.4606712962962963</v>
      </c>
      <c r="M11" s="34" t="n">
        <v>0.4547569444444444</v>
      </c>
      <c r="N11" s="34" t="n">
        <v>0.005914351851851852</v>
      </c>
      <c r="O11" s="34" t="n">
        <v>0</v>
      </c>
      <c r="P11" s="34" t="n">
        <v>0.04520833333333334</v>
      </c>
      <c r="Q11" s="61" t="n">
        <v>0.9095138888888888</v>
      </c>
      <c r="R11" s="34" t="n">
        <v>0.0709375</v>
      </c>
      <c r="S11" s="10" t="inlineStr">
        <is>
          <t>12:57:54–13:18:31 (20 мин 37 сек); 15:24:26–15:52:10 (27 мин 44 сек); 19:41:11–19:57:56 (16 мин 45 сек)</t>
        </is>
      </c>
      <c r="T11" s="64" t="inlineStr">
        <is>
          <t>Выход из чистой зоны в 20:59:57 — на 3 сек раньше 21:00. Это меньше одной минуты и как нарушение не выделено.</t>
        </is>
      </c>
    </row>
    <row r="12" ht="34" customHeight="1">
      <c r="A12" s="52" t="n">
        <v>10</v>
      </c>
      <c r="B12" s="10" t="inlineStr">
        <is>
          <t>22.09 дневная (вт)</t>
        </is>
      </c>
      <c r="C12" s="10" t="inlineStr">
        <is>
          <t>22.09.2026 09:00–21:00</t>
        </is>
      </c>
      <c r="D12" s="54" t="n">
        <v>46287.35844907408</v>
      </c>
      <c r="E12" s="54" t="n">
        <v>46287.88662037037</v>
      </c>
      <c r="F12" s="34" t="n">
        <v>0.5281712962962963</v>
      </c>
      <c r="G12" s="56" t="n">
        <v>46287.37458333333</v>
      </c>
      <c r="H12" s="56" t="n">
        <v>46287.87746527778</v>
      </c>
      <c r="I12" s="34" t="n">
        <v>0</v>
      </c>
      <c r="J12" s="26" t="n">
        <v>0</v>
      </c>
      <c r="K12" s="27" t="inlineStr">
        <is>
          <t>Норма</t>
        </is>
      </c>
      <c r="L12" s="34" t="n">
        <v>0.4089814814814815</v>
      </c>
      <c r="M12" s="34" t="n">
        <v>0.4060995370370371</v>
      </c>
      <c r="N12" s="34" t="n">
        <v>0.0004166666666666667</v>
      </c>
      <c r="O12" s="34" t="n">
        <v>0.002465277777777778</v>
      </c>
      <c r="P12" s="34" t="n">
        <v>0.09390046296296296</v>
      </c>
      <c r="Q12" s="61" t="n">
        <v>0.8121990740740741</v>
      </c>
      <c r="R12" s="34" t="n">
        <v>0.1191898148148148</v>
      </c>
      <c r="S12" s="10" t="inlineStr">
        <is>
          <t>13:22:06–14:10:46 (48 мин 40 сек); 16:18:15–17:10:11 (51 мин 56 сек); 18:00:02–18:33:35 (33 мин 33 сек)</t>
        </is>
      </c>
      <c r="T12" s="62" t="inlineStr">
        <is>
          <t>—</t>
        </is>
      </c>
    </row>
    <row r="13" ht="50" customHeight="1">
      <c r="A13" s="52" t="n">
        <v>11</v>
      </c>
      <c r="B13" s="10" t="inlineStr">
        <is>
          <t>24.09–25.09 ночная (чт–пт)</t>
        </is>
      </c>
      <c r="C13" s="10" t="inlineStr">
        <is>
          <t>24.09.2026 21:00 – 25.09.2026 09:00</t>
        </is>
      </c>
      <c r="D13" s="54" t="n">
        <v>46289.85181712963</v>
      </c>
      <c r="E13" s="54" t="n">
        <v>46290.38505787037</v>
      </c>
      <c r="F13" s="34" t="n">
        <v>0.5332407407407408</v>
      </c>
      <c r="G13" s="56" t="n">
        <v>46289.86350694444</v>
      </c>
      <c r="H13" s="60" t="n">
        <v>46290.37423611111</v>
      </c>
      <c r="I13" s="34" t="n">
        <v>0</v>
      </c>
      <c r="J13" s="21" t="n">
        <v>0.0007638888888888889</v>
      </c>
      <c r="K13" s="22" t="inlineStr">
        <is>
          <t>Ранний уход</t>
        </is>
      </c>
      <c r="L13" s="34" t="n">
        <v>0.4709837962962963</v>
      </c>
      <c r="M13" s="34" t="n">
        <v>0.4594907407407408</v>
      </c>
      <c r="N13" s="34" t="n">
        <v>0.01149305555555555</v>
      </c>
      <c r="O13" s="34" t="n">
        <v>0</v>
      </c>
      <c r="P13" s="34" t="n">
        <v>0.03974537037037037</v>
      </c>
      <c r="Q13" s="61" t="n">
        <v>0.9189814814814815</v>
      </c>
      <c r="R13" s="34" t="n">
        <v>0.06225694444444444</v>
      </c>
      <c r="S13" s="10" t="inlineStr">
        <is>
          <t>05:11:23–05:56:19 (44 мин 56 сек)</t>
        </is>
      </c>
      <c r="T13" s="59" t="inlineStr">
        <is>
          <t>Ранний уход с рабочего места на 1 мин 6 сек: выход из чистой зоны в 08:58:54 при окончании смены в 09:00. Далее выход с территории в 09:14:29. К началу смены на рабочем месте уже был (вход в чистую зону в 20:43:27).</t>
        </is>
      </c>
    </row>
    <row r="14" ht="78" customHeight="1">
      <c r="A14" s="52" t="n">
        <v>12</v>
      </c>
      <c r="B14" s="10" t="inlineStr">
        <is>
          <t>25.09–26.09 ночная (пт–сб)</t>
        </is>
      </c>
      <c r="C14" s="10" t="inlineStr">
        <is>
          <t>25.09.2026 21:00 – 26.09.2026 09:00</t>
        </is>
      </c>
      <c r="D14" s="54" t="n">
        <v>46290.85255787037</v>
      </c>
      <c r="E14" s="54" t="n">
        <v>46291.39034722222</v>
      </c>
      <c r="F14" s="34" t="n">
        <v>0.5377893518518518</v>
      </c>
      <c r="G14" s="56" t="n">
        <v>46290.86337962963</v>
      </c>
      <c r="H14" s="60" t="n">
        <v>46291.37106481481</v>
      </c>
      <c r="I14" s="34" t="n">
        <v>0</v>
      </c>
      <c r="J14" s="21" t="n">
        <v>0.003935185185185185</v>
      </c>
      <c r="K14" s="22" t="inlineStr">
        <is>
          <t>Ранний уход</t>
        </is>
      </c>
      <c r="L14" s="34" t="n">
        <v>0.4728819444444444</v>
      </c>
      <c r="M14" s="34" t="n">
        <v>0.4612615740740741</v>
      </c>
      <c r="N14" s="34" t="n">
        <v>0.01162037037037037</v>
      </c>
      <c r="O14" s="34" t="n">
        <v>0</v>
      </c>
      <c r="P14" s="34" t="n">
        <v>0.03480324074074074</v>
      </c>
      <c r="Q14" s="61" t="n">
        <v>0.9225231481481482</v>
      </c>
      <c r="R14" s="34" t="n">
        <v>0.06490740740740741</v>
      </c>
      <c r="S14" s="10" t="inlineStr">
        <is>
          <t>22:34:49–22:49:14 (14 мин 25 сек); 05:07:28–05:41:09 (33 мин 41 сек)</t>
        </is>
      </c>
      <c r="T14" s="59" t="inlineStr">
        <is>
          <t>Ранний уход с рабочего места на 5 мин 40 сек: выход из чистой зоны в 08:54:20 при окончании смены в 09:00. Далее выход с территории в 09:22:06. К началу смены на рабочем месте уже был (вход в чистую зону в 20:43:16).</t>
        </is>
      </c>
    </row>
    <row r="15" ht="78" customHeight="1">
      <c r="A15" s="52" t="n">
        <v>13</v>
      </c>
      <c r="B15" s="10" t="inlineStr">
        <is>
          <t>26.09–27.09 ночная (сб–вс)</t>
        </is>
      </c>
      <c r="C15" s="10" t="inlineStr">
        <is>
          <t>26.09.2026 21:00 – 27.09.2026 09:00</t>
        </is>
      </c>
      <c r="D15" s="54" t="n">
        <v>46291.85046296296</v>
      </c>
      <c r="E15" s="54" t="n">
        <v>46292.38101851852</v>
      </c>
      <c r="F15" s="34" t="n">
        <v>0.5305555555555556</v>
      </c>
      <c r="G15" s="56" t="n">
        <v>46291.86349537037</v>
      </c>
      <c r="H15" s="60" t="n">
        <v>46292.37271990741</v>
      </c>
      <c r="I15" s="34" t="n">
        <v>0</v>
      </c>
      <c r="J15" s="21" t="n">
        <v>0.002280092592592593</v>
      </c>
      <c r="K15" s="22" t="inlineStr">
        <is>
          <t>Ранний уход</t>
        </is>
      </c>
      <c r="L15" s="34" t="n">
        <v>0.4877546296296296</v>
      </c>
      <c r="M15" s="34" t="n">
        <v>0.47625</v>
      </c>
      <c r="N15" s="34" t="n">
        <v>0.01150462962962963</v>
      </c>
      <c r="O15" s="34" t="n">
        <v>0</v>
      </c>
      <c r="P15" s="34" t="n">
        <v>0.02146990740740741</v>
      </c>
      <c r="Q15" s="61" t="n">
        <v>0.9525</v>
      </c>
      <c r="R15" s="34" t="n">
        <v>0.04280092592592592</v>
      </c>
      <c r="S15" s="10" t="inlineStr">
        <is>
          <t>01:57:40–02:18:00 (20 мин 20 сек); 05:06:28–05:17:03 (10 мин 35 сек)</t>
        </is>
      </c>
      <c r="T15" s="59" t="inlineStr">
        <is>
          <t>Ранний уход с рабочего места на 3 мин 17 сек: выход из чистой зоны в 08:56:43 при окончании смены в 09:00. Далее вход в гардероб в 09:03:26, выход с территории в 09:08:40. К началу смены на рабочем месте уже был (вход в чистую зону в 20:43:26).</t>
        </is>
      </c>
    </row>
    <row r="16" ht="78" customHeight="1">
      <c r="A16" s="52" t="n">
        <v>14</v>
      </c>
      <c r="B16" s="10" t="inlineStr">
        <is>
          <t>29.09 дневная (вт)</t>
        </is>
      </c>
      <c r="C16" s="10" t="inlineStr">
        <is>
          <t>29.09.2026 09:00–21:00</t>
        </is>
      </c>
      <c r="D16" s="54" t="n">
        <v>46294.35409722223</v>
      </c>
      <c r="E16" s="54" t="n">
        <v>46294.87579861111</v>
      </c>
      <c r="F16" s="34" t="n">
        <v>0.5217013888888888</v>
      </c>
      <c r="G16" s="56" t="n">
        <v>46294.36788194445</v>
      </c>
      <c r="H16" s="60" t="n">
        <v>46294.86681712963</v>
      </c>
      <c r="I16" s="34" t="n">
        <v>0</v>
      </c>
      <c r="J16" s="21" t="n">
        <v>0.00818287037037037</v>
      </c>
      <c r="K16" s="22" t="inlineStr">
        <is>
          <t>Ранний уход</t>
        </is>
      </c>
      <c r="L16" s="34" t="n">
        <v>0.4527662037037037</v>
      </c>
      <c r="M16" s="34" t="n">
        <v>0.4456481481481481</v>
      </c>
      <c r="N16" s="34" t="n">
        <v>0.007118055555555555</v>
      </c>
      <c r="O16" s="34" t="n">
        <v>0</v>
      </c>
      <c r="P16" s="34" t="n">
        <v>0.04616898148148148</v>
      </c>
      <c r="Q16" s="61" t="n">
        <v>0.8912962962962963</v>
      </c>
      <c r="R16" s="34" t="n">
        <v>0.06893518518518518</v>
      </c>
      <c r="S16" s="10" t="inlineStr">
        <is>
          <t>12:11:30–13:01:18 (49 мин 48 сек); 19:10:14–19:23:31 (13 мин 17 сек)</t>
        </is>
      </c>
      <c r="T16" s="59" t="inlineStr">
        <is>
          <t>Ранний уход с рабочего места на 11 мин 47 сек: выход из чистой зоны в 20:48:13 при окончании смены в 21:00. Далее вход в гардероб в 20:55:34, выход с территории в 21:01:09. К началу смены на рабочем месте уже был (вход в чистую зону в 08:49:45).</t>
        </is>
      </c>
    </row>
    <row r="17" ht="78" customHeight="1">
      <c r="A17" s="52" t="n">
        <v>15</v>
      </c>
      <c r="B17" s="10" t="inlineStr">
        <is>
          <t>30.09 дневная (ср)</t>
        </is>
      </c>
      <c r="C17" s="10" t="inlineStr">
        <is>
          <t>30.09.2026 09:00–21:00</t>
        </is>
      </c>
      <c r="D17" s="54" t="n">
        <v>46295.35402777778</v>
      </c>
      <c r="E17" s="54" t="n">
        <v>46295.87924768519</v>
      </c>
      <c r="F17" s="34" t="n">
        <v>0.5252199074074074</v>
      </c>
      <c r="G17" s="56" t="n">
        <v>46295.36804398148</v>
      </c>
      <c r="H17" s="60" t="n">
        <v>46295.87200231481</v>
      </c>
      <c r="I17" s="34" t="n">
        <v>0</v>
      </c>
      <c r="J17" s="21" t="n">
        <v>0.002997685185185185</v>
      </c>
      <c r="K17" s="22" t="inlineStr">
        <is>
          <t>Ранний уход</t>
        </is>
      </c>
      <c r="L17" s="34" t="n">
        <v>0.4624768518518518</v>
      </c>
      <c r="M17" s="34" t="n">
        <v>0.4555208333333333</v>
      </c>
      <c r="N17" s="34" t="n">
        <v>0.006956018518518518</v>
      </c>
      <c r="O17" s="34" t="n">
        <v>0</v>
      </c>
      <c r="P17" s="34" t="n">
        <v>0.04148148148148148</v>
      </c>
      <c r="Q17" s="61" t="n">
        <v>0.9110416666666666</v>
      </c>
      <c r="R17" s="34" t="n">
        <v>0.06274305555555555</v>
      </c>
      <c r="S17" s="10" t="inlineStr">
        <is>
          <t>11:08:53–12:05:13 (56 мин 20 сек)</t>
        </is>
      </c>
      <c r="T17" s="59" t="inlineStr">
        <is>
          <t>30.09.2026 в 08:29:40 турникет записал фактический выход за несколько секунд до входа. Предыдущая смена уже закрыта, предшествующего входа нет. Этот выход не засчитан как уход с территории: похоже на повторное срабатывание или сбой. Ранний уход с рабочего места на 4 мин 19 сек: выход из чистой зоны в 20:55:41 при окончании смены в 21:00. Далее вход в гардероб в 21:01:24, выход с территории в 21:06:07. К началу смены на рабочем месте уже был (вход в чистую зону в 08:49:59).</t>
        </is>
      </c>
    </row>
    <row r="19" ht="32" customHeight="1">
      <c r="A19" s="65" t="inlineStr"/>
      <c r="B19" s="66" t="inlineStr">
        <is>
          <t>Итого по 14 полным сменам. Фрагмент 31.08–01.09 в сумму не входит.</t>
        </is>
      </c>
      <c r="C19" s="65" t="n"/>
      <c r="D19" s="65" t="n"/>
      <c r="E19" s="65" t="n"/>
      <c r="F19" s="67">
        <f>SUM(F4:F17)</f>
        <v/>
      </c>
      <c r="G19" s="65" t="n"/>
      <c r="H19" s="65" t="n"/>
      <c r="I19" s="67">
        <f>SUM(I4:I17)</f>
        <v/>
      </c>
      <c r="J19" s="67">
        <f>SUM(J4:J17)</f>
        <v/>
      </c>
      <c r="K19" s="65" t="n"/>
      <c r="L19" s="67">
        <f>SUM(L4:L17)</f>
        <v/>
      </c>
      <c r="M19" s="67">
        <f>SUM(M4:M17)</f>
        <v/>
      </c>
      <c r="N19" s="67">
        <f>SUM(N4:N17)</f>
        <v/>
      </c>
      <c r="O19" s="67">
        <f>SUM(O4:O17)</f>
        <v/>
      </c>
      <c r="P19" s="67">
        <f>SUM(P4:P17)</f>
        <v/>
      </c>
      <c r="Q19" s="68">
        <f>AVERAGE(Q4:Q17)</f>
        <v/>
      </c>
      <c r="R19" s="67">
        <f>SUM(R4:R17)</f>
        <v/>
      </c>
      <c r="S19" s="65" t="n"/>
      <c r="T19" s="65" t="n"/>
    </row>
    <row r="20" ht="32" customHeight="1">
      <c r="B20" s="69" t="inlineStr">
        <is>
          <t>Неполная ночь 31.08–01.09 в итог не включена: до выхода в 05:09:25 время неизвестно, после возвращения в 05:44:19 в чистой зоне ещё 3 ч 15 мин 20 сек. Сумма колонки «Ранний уход» включает и уходы короче одной минуты; как нарушение на листе «Итоги» посчитаны только уходы от 1 минуты.</t>
        </is>
      </c>
    </row>
  </sheetData>
  <autoFilter ref="A2:T17"/>
  <mergeCells count="8">
    <mergeCell ref="B20:T20"/>
    <mergeCell ref="L1:Q1"/>
    <mergeCell ref="A1:C1"/>
    <mergeCell ref="G1:H1"/>
    <mergeCell ref="R1"/>
    <mergeCell ref="S1:T1"/>
    <mergeCell ref="I1:K1"/>
    <mergeCell ref="D1:F1"/>
  </mergeCells>
  <conditionalFormatting sqref="Q3:Q17">
    <cfRule type="dataBar" priority="1">
      <dataBar showValue="1">
        <cfvo type="num" val="0"/>
        <cfvo type="num" val="1"/>
        <color rgb="001E7A46"/>
      </dataBar>
    </cfRule>
  </conditionalFormatting>
  <pageMargins left="0.75" right="0.75" top="1" bottom="1" header="0.5" footer="0.5"/>
  <pageSetup orientation="landscape" paperSize="8" scale="60" fitToHeight="1" fitToWidth="1" horizontalDpi="300" verticalDpi="300"/>
  <headerFooter>
    <oddHeader>&amp;LНахождение на рабочем месте</oddHeader>
    <oddFooter>&amp;RСтр.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16" customWidth="1" min="5" max="5"/>
    <col width="62" customWidth="1" min="6" max="6"/>
    <col width="26" customWidth="1" min="7" max="7"/>
  </cols>
  <sheetData>
    <row r="1" ht="24" customHeight="1">
      <c r="A1" s="70" t="inlineStr">
        <is>
          <t>№</t>
        </is>
      </c>
      <c r="B1" s="70" t="inlineStr">
        <is>
          <t>Смена</t>
        </is>
      </c>
      <c r="C1" s="70" t="inlineStr">
        <is>
          <t>С</t>
        </is>
      </c>
      <c r="D1" s="70" t="inlineStr">
        <is>
          <t>По</t>
        </is>
      </c>
      <c r="E1" s="70" t="inlineStr">
        <is>
          <t>Длительность</t>
        </is>
      </c>
      <c r="F1" s="70" t="inlineStr">
        <is>
          <t>Что это</t>
        </is>
      </c>
      <c r="G1" s="70" t="inlineStr">
        <is>
          <t>Попадает в график смены</t>
        </is>
      </c>
    </row>
    <row r="2" ht="22" customHeight="1">
      <c r="A2" s="58" t="n">
        <v>1</v>
      </c>
      <c r="B2" s="71" t="inlineStr">
        <is>
          <t>31.08–01.09 ночная (пн–вт)</t>
        </is>
      </c>
      <c r="C2" s="72" t="n">
        <v>46266.21487268519</v>
      </c>
      <c r="D2" s="72" t="n">
        <v>46266.2391087963</v>
      </c>
      <c r="E2" s="73" t="n">
        <v>0.02423611111111111</v>
      </c>
      <c r="F2" s="71" t="inlineStr">
        <is>
          <t>Был вне чистой зоны (когда зашёл до этого — неизвестно)</t>
        </is>
      </c>
      <c r="G2" s="73" t="n">
        <v>0.02423611111111111</v>
      </c>
    </row>
    <row r="3" ht="22" customHeight="1">
      <c r="A3" s="74" t="n">
        <v>2</v>
      </c>
      <c r="B3" s="39" t="inlineStr">
        <is>
          <t>31.08–01.09 ночная (пн–вт)</t>
        </is>
      </c>
      <c r="C3" s="75" t="n">
        <v>46266.37475694445</v>
      </c>
      <c r="D3" s="75" t="n">
        <v>46266.375</v>
      </c>
      <c r="E3" s="76" t="n">
        <v>0.0002430555555555555</v>
      </c>
      <c r="F3" s="64" t="inlineStr">
        <is>
          <t>Ранний уход: уже не на рабочем месте</t>
        </is>
      </c>
      <c r="G3" s="76" t="n">
        <v>0.0002430555555555555</v>
      </c>
    </row>
    <row r="4" ht="22" customHeight="1">
      <c r="A4" s="52" t="n">
        <v>3</v>
      </c>
      <c r="B4" s="10" t="inlineStr">
        <is>
          <t>01.09–02.09 ночная (вт–ср)</t>
        </is>
      </c>
      <c r="C4" s="54" t="n">
        <v>46266.92142361111</v>
      </c>
      <c r="D4" s="54" t="n">
        <v>46266.92221064815</v>
      </c>
      <c r="E4" s="34" t="n">
        <v>0.000787037037037037</v>
      </c>
      <c r="F4" s="10" t="inlineStr">
        <is>
          <t>Отлучка с рабочего места</t>
        </is>
      </c>
      <c r="G4" s="34" t="n">
        <v>0.000787037037037037</v>
      </c>
    </row>
    <row r="5" ht="22" customHeight="1">
      <c r="A5" s="52" t="n">
        <v>4</v>
      </c>
      <c r="B5" s="10" t="inlineStr">
        <is>
          <t>01.09–02.09 ночная (вт–ср)</t>
        </is>
      </c>
      <c r="C5" s="54" t="n">
        <v>46266.92959490741</v>
      </c>
      <c r="D5" s="54" t="n">
        <v>46266.9453125</v>
      </c>
      <c r="E5" s="77" t="n">
        <v>0.01571759259259259</v>
      </c>
      <c r="F5" s="10" t="inlineStr">
        <is>
          <t>Отлучка с рабочего места</t>
        </is>
      </c>
      <c r="G5" s="34" t="n">
        <v>0.01571759259259259</v>
      </c>
    </row>
    <row r="6" ht="22" customHeight="1">
      <c r="A6" s="52" t="n">
        <v>5</v>
      </c>
      <c r="B6" s="10" t="inlineStr">
        <is>
          <t>01.09–02.09 ночная (вт–ср)</t>
        </is>
      </c>
      <c r="C6" s="54" t="n">
        <v>46267.29430555556</v>
      </c>
      <c r="D6" s="54" t="n">
        <v>46267.32278935185</v>
      </c>
      <c r="E6" s="77" t="n">
        <v>0.0284837962962963</v>
      </c>
      <c r="F6" s="10" t="inlineStr">
        <is>
          <t>Отлучка с рабочего места</t>
        </is>
      </c>
      <c r="G6" s="34" t="n">
        <v>0.0284837962962963</v>
      </c>
    </row>
    <row r="7" ht="22" customHeight="1">
      <c r="A7" s="36" t="n">
        <v>6</v>
      </c>
      <c r="B7" s="20" t="inlineStr">
        <is>
          <t>01.09–02.09 ночная (вт–ср)</t>
        </is>
      </c>
      <c r="C7" s="78" t="n">
        <v>46267.37123842593</v>
      </c>
      <c r="D7" s="78" t="n">
        <v>46267.375</v>
      </c>
      <c r="E7" s="79" t="n">
        <v>0.003761574074074074</v>
      </c>
      <c r="F7" s="80" t="inlineStr">
        <is>
          <t>Ранний уход: уже не на рабочем месте</t>
        </is>
      </c>
      <c r="G7" s="79" t="n">
        <v>0.003761574074074074</v>
      </c>
    </row>
    <row r="8" ht="22" customHeight="1">
      <c r="A8" s="52" t="n">
        <v>7</v>
      </c>
      <c r="B8" s="10" t="inlineStr">
        <is>
          <t>05.09 дневная (сб)</t>
        </is>
      </c>
      <c r="C8" s="54" t="n">
        <v>46270.51028935185</v>
      </c>
      <c r="D8" s="54" t="n">
        <v>46270.52151620371</v>
      </c>
      <c r="E8" s="77" t="n">
        <v>0.01122685185185185</v>
      </c>
      <c r="F8" s="10" t="inlineStr">
        <is>
          <t>Отлучка с рабочего места</t>
        </is>
      </c>
      <c r="G8" s="34" t="n">
        <v>0.01122685185185185</v>
      </c>
    </row>
    <row r="9" ht="22" customHeight="1">
      <c r="A9" s="52" t="n">
        <v>8</v>
      </c>
      <c r="B9" s="10" t="inlineStr">
        <is>
          <t>05.09 дневная (сб)</t>
        </is>
      </c>
      <c r="C9" s="54" t="n">
        <v>46270.67166666667</v>
      </c>
      <c r="D9" s="54" t="n">
        <v>46270.69424768518</v>
      </c>
      <c r="E9" s="77" t="n">
        <v>0.02258101851851852</v>
      </c>
      <c r="F9" s="10" t="inlineStr">
        <is>
          <t>Отлучка с рабочего места</t>
        </is>
      </c>
      <c r="G9" s="34" t="n">
        <v>0.02258101851851852</v>
      </c>
    </row>
    <row r="10" ht="22" customHeight="1">
      <c r="A10" s="52" t="n">
        <v>9</v>
      </c>
      <c r="B10" s="10" t="inlineStr">
        <is>
          <t>05.09 дневная (сб)</t>
        </is>
      </c>
      <c r="C10" s="54" t="n">
        <v>46270.79846064815</v>
      </c>
      <c r="D10" s="54" t="n">
        <v>46270.82094907408</v>
      </c>
      <c r="E10" s="77" t="n">
        <v>0.02248842592592593</v>
      </c>
      <c r="F10" s="10" t="inlineStr">
        <is>
          <t>Отлучка с рабочего места</t>
        </is>
      </c>
      <c r="G10" s="34" t="n">
        <v>0.02248842592592593</v>
      </c>
    </row>
    <row r="11" ht="22" customHeight="1">
      <c r="A11" s="36" t="n">
        <v>10</v>
      </c>
      <c r="B11" s="20" t="inlineStr">
        <is>
          <t>05.09 дневная (сб)</t>
        </is>
      </c>
      <c r="C11" s="78" t="n">
        <v>46270.8734837963</v>
      </c>
      <c r="D11" s="78" t="n">
        <v>46270.875</v>
      </c>
      <c r="E11" s="79" t="n">
        <v>0.001516203703703704</v>
      </c>
      <c r="F11" s="80" t="inlineStr">
        <is>
          <t>Ранний уход: уже не на рабочем месте</t>
        </is>
      </c>
      <c r="G11" s="79" t="n">
        <v>0.001516203703703704</v>
      </c>
    </row>
    <row r="12" ht="22" customHeight="1">
      <c r="A12" s="52" t="n">
        <v>11</v>
      </c>
      <c r="B12" s="10" t="inlineStr">
        <is>
          <t>06.09 дневная (вс)</t>
        </is>
      </c>
      <c r="C12" s="54" t="n">
        <v>46271.40710648148</v>
      </c>
      <c r="D12" s="54" t="n">
        <v>46271.40768518519</v>
      </c>
      <c r="E12" s="34" t="n">
        <v>0.0005787037037037037</v>
      </c>
      <c r="F12" s="10" t="inlineStr">
        <is>
          <t>Отлучка с рабочего места</t>
        </is>
      </c>
      <c r="G12" s="34" t="n">
        <v>0.0005787037037037037</v>
      </c>
    </row>
    <row r="13" ht="22" customHeight="1">
      <c r="A13" s="52" t="n">
        <v>12</v>
      </c>
      <c r="B13" s="10" t="inlineStr">
        <is>
          <t>06.09 дневная (вс)</t>
        </is>
      </c>
      <c r="C13" s="54" t="n">
        <v>46271.53900462963</v>
      </c>
      <c r="D13" s="54" t="n">
        <v>46271.57741898148</v>
      </c>
      <c r="E13" s="77" t="n">
        <v>0.03841435185185185</v>
      </c>
      <c r="F13" s="10" t="inlineStr">
        <is>
          <t>Отлучка с рабочего места</t>
        </is>
      </c>
      <c r="G13" s="34" t="n">
        <v>0.03841435185185185</v>
      </c>
    </row>
    <row r="14" ht="22" customHeight="1">
      <c r="A14" s="52" t="n">
        <v>13</v>
      </c>
      <c r="B14" s="10" t="inlineStr">
        <is>
          <t>06.09 дневная (вс)</t>
        </is>
      </c>
      <c r="C14" s="54" t="n">
        <v>46271.7896875</v>
      </c>
      <c r="D14" s="54" t="n">
        <v>46271.81405092592</v>
      </c>
      <c r="E14" s="77" t="n">
        <v>0.02436342592592593</v>
      </c>
      <c r="F14" s="10" t="inlineStr">
        <is>
          <t>Отлучка с рабочего места</t>
        </is>
      </c>
      <c r="G14" s="34" t="n">
        <v>0.02436342592592593</v>
      </c>
    </row>
    <row r="15" ht="22" customHeight="1">
      <c r="A15" s="52" t="n">
        <v>14</v>
      </c>
      <c r="B15" s="10" t="inlineStr">
        <is>
          <t>07.09–08.09 ночная (пн–вт)</t>
        </is>
      </c>
      <c r="C15" s="54" t="n">
        <v>46273.05680555556</v>
      </c>
      <c r="D15" s="54" t="n">
        <v>46273.06527777778</v>
      </c>
      <c r="E15" s="77" t="n">
        <v>0.008472222222222223</v>
      </c>
      <c r="F15" s="10" t="inlineStr">
        <is>
          <t>Отлучка с рабочего места</t>
        </is>
      </c>
      <c r="G15" s="34" t="n">
        <v>0.008472222222222223</v>
      </c>
    </row>
    <row r="16" ht="22" customHeight="1">
      <c r="A16" s="52" t="n">
        <v>15</v>
      </c>
      <c r="B16" s="10" t="inlineStr">
        <is>
          <t>07.09–08.09 ночная (пн–вт)</t>
        </is>
      </c>
      <c r="C16" s="54" t="n">
        <v>46273.21684027778</v>
      </c>
      <c r="D16" s="54" t="n">
        <v>46273.21857638889</v>
      </c>
      <c r="E16" s="34" t="n">
        <v>0.001736111111111111</v>
      </c>
      <c r="F16" s="10" t="inlineStr">
        <is>
          <t>Отлучка с рабочего места</t>
        </is>
      </c>
      <c r="G16" s="34" t="n">
        <v>0.001736111111111111</v>
      </c>
    </row>
    <row r="17" ht="22" customHeight="1">
      <c r="A17" s="52" t="n">
        <v>16</v>
      </c>
      <c r="B17" s="10" t="inlineStr">
        <is>
          <t>07.09–08.09 ночная (пн–вт)</t>
        </is>
      </c>
      <c r="C17" s="54" t="n">
        <v>46273.26131944444</v>
      </c>
      <c r="D17" s="54" t="n">
        <v>46273.28291666666</v>
      </c>
      <c r="E17" s="77" t="n">
        <v>0.02159722222222222</v>
      </c>
      <c r="F17" s="10" t="inlineStr">
        <is>
          <t>Отлучка с рабочего места</t>
        </is>
      </c>
      <c r="G17" s="34" t="n">
        <v>0.02159722222222222</v>
      </c>
    </row>
    <row r="18" ht="22" customHeight="1">
      <c r="A18" s="36" t="n">
        <v>17</v>
      </c>
      <c r="B18" s="20" t="inlineStr">
        <is>
          <t>07.09–08.09 ночная (пн–вт)</t>
        </is>
      </c>
      <c r="C18" s="78" t="n">
        <v>46273.37217592593</v>
      </c>
      <c r="D18" s="78" t="n">
        <v>46273.375</v>
      </c>
      <c r="E18" s="79" t="n">
        <v>0.002824074074074074</v>
      </c>
      <c r="F18" s="80" t="inlineStr">
        <is>
          <t>Ранний уход: уже не на рабочем месте</t>
        </is>
      </c>
      <c r="G18" s="79" t="n">
        <v>0.002824074074074074</v>
      </c>
    </row>
    <row r="19" ht="22" customHeight="1">
      <c r="A19" s="37" t="n">
        <v>18</v>
      </c>
      <c r="B19" s="15" t="inlineStr">
        <is>
          <t>08.09–09.09 ночная (вт–ср)</t>
        </is>
      </c>
      <c r="C19" s="81" t="n">
        <v>46273.875</v>
      </c>
      <c r="D19" s="81" t="n">
        <v>46273.87586805555</v>
      </c>
      <c r="E19" s="82" t="n">
        <v>0.0008680555555555555</v>
      </c>
      <c r="F19" s="83" t="inlineStr">
        <is>
          <t>Опоздание: ещё не на рабочем месте</t>
        </is>
      </c>
      <c r="G19" s="82" t="n">
        <v>0.0008680555555555555</v>
      </c>
    </row>
    <row r="20" ht="22" customHeight="1">
      <c r="A20" s="52" t="n">
        <v>19</v>
      </c>
      <c r="B20" s="10" t="inlineStr">
        <is>
          <t>08.09–09.09 ночная (вт–ср)</t>
        </is>
      </c>
      <c r="C20" s="54" t="n">
        <v>46274.12827546296</v>
      </c>
      <c r="D20" s="54" t="n">
        <v>46274.15606481482</v>
      </c>
      <c r="E20" s="77" t="n">
        <v>0.02778935185185185</v>
      </c>
      <c r="F20" s="10" t="inlineStr">
        <is>
          <t>Отлучка с рабочего места</t>
        </is>
      </c>
      <c r="G20" s="34" t="n">
        <v>0.02778935185185185</v>
      </c>
    </row>
    <row r="21" ht="22" customHeight="1">
      <c r="A21" s="52" t="n">
        <v>20</v>
      </c>
      <c r="B21" s="10" t="inlineStr">
        <is>
          <t>08.09–09.09 ночная (вт–ср)</t>
        </is>
      </c>
      <c r="C21" s="54" t="n">
        <v>46274.30565972222</v>
      </c>
      <c r="D21" s="54" t="n">
        <v>46274.32649305555</v>
      </c>
      <c r="E21" s="77" t="n">
        <v>0.02083333333333333</v>
      </c>
      <c r="F21" s="10" t="inlineStr">
        <is>
          <t>Отлучка с рабочего места</t>
        </is>
      </c>
      <c r="G21" s="34" t="n">
        <v>0.02083333333333333</v>
      </c>
    </row>
    <row r="22" ht="22" customHeight="1">
      <c r="A22" s="74" t="n">
        <v>21</v>
      </c>
      <c r="B22" s="39" t="inlineStr">
        <is>
          <t>08.09–09.09 ночная (вт–ср)</t>
        </is>
      </c>
      <c r="C22" s="75" t="n">
        <v>46274.37491898148</v>
      </c>
      <c r="D22" s="75" t="n">
        <v>46274.375</v>
      </c>
      <c r="E22" s="76" t="n">
        <v>8.101851851851852e-05</v>
      </c>
      <c r="F22" s="64" t="inlineStr">
        <is>
          <t>Ранний уход: уже не на рабочем месте</t>
        </is>
      </c>
      <c r="G22" s="76" t="n">
        <v>8.101851851851852e-05</v>
      </c>
    </row>
    <row r="23" ht="22" customHeight="1">
      <c r="A23" s="52" t="n">
        <v>22</v>
      </c>
      <c r="B23" s="10" t="inlineStr">
        <is>
          <t>09.09–10.09 ночная (ср–чт)</t>
        </is>
      </c>
      <c r="C23" s="54" t="n">
        <v>46275.07413194444</v>
      </c>
      <c r="D23" s="54" t="n">
        <v>46275.1071875</v>
      </c>
      <c r="E23" s="77" t="n">
        <v>0.03305555555555555</v>
      </c>
      <c r="F23" s="10" t="inlineStr">
        <is>
          <t>Отлучка с рабочего места</t>
        </is>
      </c>
      <c r="G23" s="34" t="n">
        <v>0.03305555555555555</v>
      </c>
    </row>
    <row r="24" ht="22" customHeight="1">
      <c r="A24" s="52" t="n">
        <v>23</v>
      </c>
      <c r="B24" s="10" t="inlineStr">
        <is>
          <t>09.09–10.09 ночная (ср–чт)</t>
        </is>
      </c>
      <c r="C24" s="54" t="n">
        <v>46275.30873842593</v>
      </c>
      <c r="D24" s="54" t="n">
        <v>46275.33039351852</v>
      </c>
      <c r="E24" s="77" t="n">
        <v>0.02165509259259259</v>
      </c>
      <c r="F24" s="10" t="inlineStr">
        <is>
          <t>Отлучка с рабочего места</t>
        </is>
      </c>
      <c r="G24" s="34" t="n">
        <v>0.02165509259259259</v>
      </c>
    </row>
    <row r="25" ht="22" customHeight="1">
      <c r="A25" s="52" t="n">
        <v>24</v>
      </c>
      <c r="B25" s="10" t="inlineStr">
        <is>
          <t>13.09 дневная (вс)</t>
        </is>
      </c>
      <c r="C25" s="54" t="n">
        <v>46278.50424768519</v>
      </c>
      <c r="D25" s="54" t="n">
        <v>46278.54325231481</v>
      </c>
      <c r="E25" s="77" t="n">
        <v>0.03900462962962963</v>
      </c>
      <c r="F25" s="10" t="inlineStr">
        <is>
          <t>Отлучка с рабочего места</t>
        </is>
      </c>
      <c r="G25" s="34" t="n">
        <v>0.03900462962962963</v>
      </c>
    </row>
    <row r="26" ht="22" customHeight="1">
      <c r="A26" s="52" t="n">
        <v>25</v>
      </c>
      <c r="B26" s="10" t="inlineStr">
        <is>
          <t>13.09 дневная (вс)</t>
        </is>
      </c>
      <c r="C26" s="54" t="n">
        <v>46278.62167824074</v>
      </c>
      <c r="D26" s="54" t="n">
        <v>46278.62430555555</v>
      </c>
      <c r="E26" s="34" t="n">
        <v>0.002627314814814815</v>
      </c>
      <c r="F26" s="10" t="inlineStr">
        <is>
          <t>Отлучка с рабочего места</t>
        </is>
      </c>
      <c r="G26" s="34" t="n">
        <v>0.002627314814814815</v>
      </c>
    </row>
    <row r="27" ht="22" customHeight="1">
      <c r="A27" s="52" t="n">
        <v>26</v>
      </c>
      <c r="B27" s="10" t="inlineStr">
        <is>
          <t>13.09 дневная (вс)</t>
        </is>
      </c>
      <c r="C27" s="54" t="n">
        <v>46278.76810185185</v>
      </c>
      <c r="D27" s="54" t="n">
        <v>46278.77584490741</v>
      </c>
      <c r="E27" s="77" t="n">
        <v>0.007743055555555556</v>
      </c>
      <c r="F27" s="10" t="inlineStr">
        <is>
          <t>Отлучка с рабочего места</t>
        </is>
      </c>
      <c r="G27" s="34" t="n">
        <v>0.007743055555555556</v>
      </c>
    </row>
    <row r="28" ht="22" customHeight="1">
      <c r="A28" s="52" t="n">
        <v>27</v>
      </c>
      <c r="B28" s="10" t="inlineStr">
        <is>
          <t>13.09 дневная (вс)</t>
        </is>
      </c>
      <c r="C28" s="54" t="n">
        <v>46278.77608796296</v>
      </c>
      <c r="D28" s="54" t="n">
        <v>46278.78925925926</v>
      </c>
      <c r="E28" s="77" t="n">
        <v>0.0131712962962963</v>
      </c>
      <c r="F28" s="10" t="inlineStr">
        <is>
          <t>Отлучка с рабочего места</t>
        </is>
      </c>
      <c r="G28" s="34" t="n">
        <v>0.0131712962962963</v>
      </c>
    </row>
    <row r="29" ht="22" customHeight="1">
      <c r="A29" s="36" t="n">
        <v>28</v>
      </c>
      <c r="B29" s="20" t="inlineStr">
        <is>
          <t>13.09 дневная (вс)</t>
        </is>
      </c>
      <c r="C29" s="78" t="n">
        <v>46278.86550925926</v>
      </c>
      <c r="D29" s="78" t="n">
        <v>46278.875</v>
      </c>
      <c r="E29" s="79" t="n">
        <v>0.009490740740740741</v>
      </c>
      <c r="F29" s="80" t="inlineStr">
        <is>
          <t>Ранний уход: уже не на рабочем месте</t>
        </is>
      </c>
      <c r="G29" s="79" t="n">
        <v>0.009490740740740741</v>
      </c>
    </row>
    <row r="30" ht="22" customHeight="1">
      <c r="A30" s="52" t="n">
        <v>29</v>
      </c>
      <c r="B30" s="10" t="inlineStr">
        <is>
          <t>14.09 дневная (пн)</t>
        </is>
      </c>
      <c r="C30" s="54" t="n">
        <v>46279.54020833333</v>
      </c>
      <c r="D30" s="54" t="n">
        <v>46279.55452546296</v>
      </c>
      <c r="E30" s="77" t="n">
        <v>0.01431712962962963</v>
      </c>
      <c r="F30" s="10" t="inlineStr">
        <is>
          <t>Отлучка с рабочего места</t>
        </is>
      </c>
      <c r="G30" s="34" t="n">
        <v>0.01431712962962963</v>
      </c>
    </row>
    <row r="31" ht="22" customHeight="1">
      <c r="A31" s="52" t="n">
        <v>30</v>
      </c>
      <c r="B31" s="10" t="inlineStr">
        <is>
          <t>14.09 дневная (пн)</t>
        </is>
      </c>
      <c r="C31" s="54" t="n">
        <v>46279.64196759259</v>
      </c>
      <c r="D31" s="54" t="n">
        <v>46279.66122685185</v>
      </c>
      <c r="E31" s="77" t="n">
        <v>0.01925925925925926</v>
      </c>
      <c r="F31" s="10" t="inlineStr">
        <is>
          <t>Отлучка с рабочего места</t>
        </is>
      </c>
      <c r="G31" s="34" t="n">
        <v>0.01925925925925926</v>
      </c>
    </row>
    <row r="32" ht="22" customHeight="1">
      <c r="A32" s="52" t="n">
        <v>31</v>
      </c>
      <c r="B32" s="10" t="inlineStr">
        <is>
          <t>14.09 дневная (пн)</t>
        </is>
      </c>
      <c r="C32" s="54" t="n">
        <v>46279.8202662037</v>
      </c>
      <c r="D32" s="54" t="n">
        <v>46279.83189814815</v>
      </c>
      <c r="E32" s="77" t="n">
        <v>0.01163194444444444</v>
      </c>
      <c r="F32" s="10" t="inlineStr">
        <is>
          <t>Отлучка с рабочего места</t>
        </is>
      </c>
      <c r="G32" s="34" t="n">
        <v>0.01163194444444444</v>
      </c>
    </row>
    <row r="33" ht="22" customHeight="1">
      <c r="A33" s="74" t="n">
        <v>32</v>
      </c>
      <c r="B33" s="39" t="inlineStr">
        <is>
          <t>14.09 дневная (пн)</t>
        </is>
      </c>
      <c r="C33" s="75" t="n">
        <v>46279.87496527778</v>
      </c>
      <c r="D33" s="75" t="n">
        <v>46279.875</v>
      </c>
      <c r="E33" s="76" t="n">
        <v>3.472222222222222e-05</v>
      </c>
      <c r="F33" s="64" t="inlineStr">
        <is>
          <t>Ранний уход: уже не на рабочем месте</t>
        </is>
      </c>
      <c r="G33" s="76" t="n">
        <v>3.472222222222222e-05</v>
      </c>
    </row>
    <row r="34" ht="22" customHeight="1">
      <c r="A34" s="52" t="n">
        <v>33</v>
      </c>
      <c r="B34" s="10" t="inlineStr">
        <is>
          <t>22.09 дневная (вт)</t>
        </is>
      </c>
      <c r="C34" s="54" t="n">
        <v>46287.55701388889</v>
      </c>
      <c r="D34" s="54" t="n">
        <v>46287.59081018518</v>
      </c>
      <c r="E34" s="77" t="n">
        <v>0.0337962962962963</v>
      </c>
      <c r="F34" s="10" t="inlineStr">
        <is>
          <t>Отлучка с рабочего места</t>
        </is>
      </c>
      <c r="G34" s="34" t="n">
        <v>0.0337962962962963</v>
      </c>
    </row>
    <row r="35" ht="22" customHeight="1">
      <c r="A35" s="52" t="n">
        <v>34</v>
      </c>
      <c r="B35" s="10" t="inlineStr">
        <is>
          <t>22.09 дневная (вт)</t>
        </is>
      </c>
      <c r="C35" s="54" t="n">
        <v>46287.67934027778</v>
      </c>
      <c r="D35" s="54" t="n">
        <v>46287.71540509259</v>
      </c>
      <c r="E35" s="77" t="n">
        <v>0.03606481481481481</v>
      </c>
      <c r="F35" s="10" t="inlineStr">
        <is>
          <t>Отлучка с рабочего места</t>
        </is>
      </c>
      <c r="G35" s="34" t="n">
        <v>0.03606481481481481</v>
      </c>
    </row>
    <row r="36" ht="22" customHeight="1">
      <c r="A36" s="52" t="n">
        <v>35</v>
      </c>
      <c r="B36" s="10" t="inlineStr">
        <is>
          <t>22.09 дневная (вт)</t>
        </is>
      </c>
      <c r="C36" s="54" t="n">
        <v>46287.74594907407</v>
      </c>
      <c r="D36" s="54" t="n">
        <v>46287.74668981481</v>
      </c>
      <c r="E36" s="34" t="n">
        <v>0.0007407407407407407</v>
      </c>
      <c r="F36" s="10" t="inlineStr">
        <is>
          <t>Отлучка с рабочего места</t>
        </is>
      </c>
      <c r="G36" s="34" t="n">
        <v>0.0007407407407407407</v>
      </c>
    </row>
    <row r="37" ht="22" customHeight="1">
      <c r="A37" s="52" t="n">
        <v>36</v>
      </c>
      <c r="B37" s="10" t="inlineStr">
        <is>
          <t>22.09 дневная (вт)</t>
        </is>
      </c>
      <c r="C37" s="54" t="n">
        <v>46287.75002314815</v>
      </c>
      <c r="D37" s="54" t="n">
        <v>46287.77332175926</v>
      </c>
      <c r="E37" s="77" t="n">
        <v>0.02329861111111111</v>
      </c>
      <c r="F37" s="10" t="inlineStr">
        <is>
          <t>Отлучка с рабочего места</t>
        </is>
      </c>
      <c r="G37" s="34" t="n">
        <v>0.02329861111111111</v>
      </c>
    </row>
    <row r="38" ht="22" customHeight="1">
      <c r="A38" s="52" t="n">
        <v>37</v>
      </c>
      <c r="B38" s="10" t="inlineStr">
        <is>
          <t>24.09–25.09 ночная (чт–пт)</t>
        </is>
      </c>
      <c r="C38" s="54" t="n">
        <v>46289.89809027778</v>
      </c>
      <c r="D38" s="54" t="n">
        <v>46289.8987037037</v>
      </c>
      <c r="E38" s="34" t="n">
        <v>0.0006134259259259259</v>
      </c>
      <c r="F38" s="10" t="inlineStr">
        <is>
          <t>Отлучка с рабочего места</t>
        </is>
      </c>
      <c r="G38" s="34" t="n">
        <v>0.0006134259259259259</v>
      </c>
    </row>
    <row r="39" ht="22" customHeight="1">
      <c r="A39" s="52" t="n">
        <v>38</v>
      </c>
      <c r="B39" s="10" t="inlineStr">
        <is>
          <t>24.09–25.09 ночная (чт–пт)</t>
        </is>
      </c>
      <c r="C39" s="54" t="n">
        <v>46289.95715277778</v>
      </c>
      <c r="D39" s="54" t="n">
        <v>46289.96395833333</v>
      </c>
      <c r="E39" s="34" t="n">
        <v>0.006805555555555555</v>
      </c>
      <c r="F39" s="10" t="inlineStr">
        <is>
          <t>Отлучка с рабочего места</t>
        </is>
      </c>
      <c r="G39" s="34" t="n">
        <v>0.006805555555555555</v>
      </c>
    </row>
    <row r="40" ht="22" customHeight="1">
      <c r="A40" s="52" t="n">
        <v>39</v>
      </c>
      <c r="B40" s="10" t="inlineStr">
        <is>
          <t>24.09–25.09 ночная (чт–пт)</t>
        </is>
      </c>
      <c r="C40" s="54" t="n">
        <v>46290.07189814815</v>
      </c>
      <c r="D40" s="54" t="n">
        <v>46290.07302083333</v>
      </c>
      <c r="E40" s="34" t="n">
        <v>0.001122685185185185</v>
      </c>
      <c r="F40" s="10" t="inlineStr">
        <is>
          <t>Отлучка с рабочего места</t>
        </is>
      </c>
      <c r="G40" s="34" t="n">
        <v>0.001122685185185185</v>
      </c>
    </row>
    <row r="41" ht="22" customHeight="1">
      <c r="A41" s="52" t="n">
        <v>40</v>
      </c>
      <c r="B41" s="10" t="inlineStr">
        <is>
          <t>24.09–25.09 ночная (чт–пт)</t>
        </is>
      </c>
      <c r="C41" s="54" t="n">
        <v>46290.21623842593</v>
      </c>
      <c r="D41" s="54" t="n">
        <v>46290.24744212963</v>
      </c>
      <c r="E41" s="77" t="n">
        <v>0.0312037037037037</v>
      </c>
      <c r="F41" s="10" t="inlineStr">
        <is>
          <t>Отлучка с рабочего места</t>
        </is>
      </c>
      <c r="G41" s="34" t="n">
        <v>0.0312037037037037</v>
      </c>
    </row>
    <row r="42" ht="22" customHeight="1">
      <c r="A42" s="36" t="n">
        <v>41</v>
      </c>
      <c r="B42" s="20" t="inlineStr">
        <is>
          <t>24.09–25.09 ночная (чт–пт)</t>
        </is>
      </c>
      <c r="C42" s="78" t="n">
        <v>46290.37423611111</v>
      </c>
      <c r="D42" s="78" t="n">
        <v>46290.375</v>
      </c>
      <c r="E42" s="79" t="n">
        <v>0.0007638888888888889</v>
      </c>
      <c r="F42" s="80" t="inlineStr">
        <is>
          <t>Ранний уход: уже не на рабочем месте</t>
        </is>
      </c>
      <c r="G42" s="79" t="n">
        <v>0.0007638888888888889</v>
      </c>
    </row>
    <row r="43" ht="22" customHeight="1">
      <c r="A43" s="52" t="n">
        <v>42</v>
      </c>
      <c r="B43" s="10" t="inlineStr">
        <is>
          <t>25.09–26.09 ночная (пт–сб)</t>
        </is>
      </c>
      <c r="C43" s="54" t="n">
        <v>46290.94084490741</v>
      </c>
      <c r="D43" s="54" t="n">
        <v>46290.95085648148</v>
      </c>
      <c r="E43" s="77" t="n">
        <v>0.01001157407407407</v>
      </c>
      <c r="F43" s="10" t="inlineStr">
        <is>
          <t>Отлучка с рабочего места</t>
        </is>
      </c>
      <c r="G43" s="34" t="n">
        <v>0.01001157407407407</v>
      </c>
    </row>
    <row r="44" ht="22" customHeight="1">
      <c r="A44" s="52" t="n">
        <v>43</v>
      </c>
      <c r="B44" s="10" t="inlineStr">
        <is>
          <t>25.09–26.09 ночная (пт–сб)</t>
        </is>
      </c>
      <c r="C44" s="54" t="n">
        <v>46291.06895833334</v>
      </c>
      <c r="D44" s="54" t="n">
        <v>46291.0703587963</v>
      </c>
      <c r="E44" s="34" t="n">
        <v>0.001400462962962963</v>
      </c>
      <c r="F44" s="10" t="inlineStr">
        <is>
          <t>Отлучка с рабочего места</t>
        </is>
      </c>
      <c r="G44" s="34" t="n">
        <v>0.001400462962962963</v>
      </c>
    </row>
    <row r="45" ht="22" customHeight="1">
      <c r="A45" s="52" t="n">
        <v>44</v>
      </c>
      <c r="B45" s="10" t="inlineStr">
        <is>
          <t>25.09–26.09 ночная (пт–сб)</t>
        </is>
      </c>
      <c r="C45" s="54" t="n">
        <v>46291.21351851852</v>
      </c>
      <c r="D45" s="54" t="n">
        <v>46291.23690972223</v>
      </c>
      <c r="E45" s="77" t="n">
        <v>0.0233912037037037</v>
      </c>
      <c r="F45" s="10" t="inlineStr">
        <is>
          <t>Отлучка с рабочего места</t>
        </is>
      </c>
      <c r="G45" s="34" t="n">
        <v>0.0233912037037037</v>
      </c>
    </row>
    <row r="46" ht="22" customHeight="1">
      <c r="A46" s="36" t="n">
        <v>45</v>
      </c>
      <c r="B46" s="20" t="inlineStr">
        <is>
          <t>25.09–26.09 ночная (пт–сб)</t>
        </is>
      </c>
      <c r="C46" s="78" t="n">
        <v>46291.37106481481</v>
      </c>
      <c r="D46" s="78" t="n">
        <v>46291.375</v>
      </c>
      <c r="E46" s="79" t="n">
        <v>0.003935185185185185</v>
      </c>
      <c r="F46" s="80" t="inlineStr">
        <is>
          <t>Ранний уход: уже не на рабочем месте</t>
        </is>
      </c>
      <c r="G46" s="79" t="n">
        <v>0.003935185185185185</v>
      </c>
    </row>
    <row r="47" ht="22" customHeight="1">
      <c r="A47" s="52" t="n">
        <v>46</v>
      </c>
      <c r="B47" s="10" t="inlineStr">
        <is>
          <t>26.09–27.09 ночная (сб–вс)</t>
        </is>
      </c>
      <c r="C47" s="54" t="n">
        <v>46292.08171296296</v>
      </c>
      <c r="D47" s="54" t="n">
        <v>46292.09583333333</v>
      </c>
      <c r="E47" s="77" t="n">
        <v>0.01412037037037037</v>
      </c>
      <c r="F47" s="10" t="inlineStr">
        <is>
          <t>Отлучка с рабочего места</t>
        </is>
      </c>
      <c r="G47" s="34" t="n">
        <v>0.01412037037037037</v>
      </c>
    </row>
    <row r="48" ht="22" customHeight="1">
      <c r="A48" s="52" t="n">
        <v>47</v>
      </c>
      <c r="B48" s="10" t="inlineStr">
        <is>
          <t>26.09–27.09 ночная (сб–вс)</t>
        </is>
      </c>
      <c r="C48" s="54" t="n">
        <v>46292.21282407407</v>
      </c>
      <c r="D48" s="54" t="n">
        <v>46292.22017361111</v>
      </c>
      <c r="E48" s="77" t="n">
        <v>0.007349537037037037</v>
      </c>
      <c r="F48" s="10" t="inlineStr">
        <is>
          <t>Отлучка с рабочего места</t>
        </is>
      </c>
      <c r="G48" s="34" t="n">
        <v>0.007349537037037037</v>
      </c>
    </row>
    <row r="49" ht="22" customHeight="1">
      <c r="A49" s="36" t="n">
        <v>48</v>
      </c>
      <c r="B49" s="20" t="inlineStr">
        <is>
          <t>26.09–27.09 ночная (сб–вс)</t>
        </is>
      </c>
      <c r="C49" s="78" t="n">
        <v>46292.37271990741</v>
      </c>
      <c r="D49" s="78" t="n">
        <v>46292.375</v>
      </c>
      <c r="E49" s="79" t="n">
        <v>0.002280092592592593</v>
      </c>
      <c r="F49" s="80" t="inlineStr">
        <is>
          <t>Ранний уход: уже не на рабочем месте</t>
        </is>
      </c>
      <c r="G49" s="79" t="n">
        <v>0.002280092592592593</v>
      </c>
    </row>
    <row r="50" ht="22" customHeight="1">
      <c r="A50" s="52" t="n">
        <v>49</v>
      </c>
      <c r="B50" s="10" t="inlineStr">
        <is>
          <t>29.09 дневная (вт)</t>
        </is>
      </c>
      <c r="C50" s="54" t="n">
        <v>46294.50798611111</v>
      </c>
      <c r="D50" s="54" t="n">
        <v>46294.54256944444</v>
      </c>
      <c r="E50" s="77" t="n">
        <v>0.03458333333333333</v>
      </c>
      <c r="F50" s="10" t="inlineStr">
        <is>
          <t>Отлучка с рабочего места</t>
        </is>
      </c>
      <c r="G50" s="34" t="n">
        <v>0.03458333333333333</v>
      </c>
    </row>
    <row r="51" ht="22" customHeight="1">
      <c r="A51" s="52" t="n">
        <v>50</v>
      </c>
      <c r="B51" s="10" t="inlineStr">
        <is>
          <t>29.09 дневная (вт)</t>
        </is>
      </c>
      <c r="C51" s="54" t="n">
        <v>46294.68196759259</v>
      </c>
      <c r="D51" s="54" t="n">
        <v>46294.6843287037</v>
      </c>
      <c r="E51" s="34" t="n">
        <v>0.002361111111111111</v>
      </c>
      <c r="F51" s="10" t="inlineStr">
        <is>
          <t>Отлучка с рабочего места</t>
        </is>
      </c>
      <c r="G51" s="34" t="n">
        <v>0.002361111111111111</v>
      </c>
    </row>
    <row r="52" ht="22" customHeight="1">
      <c r="A52" s="52" t="n">
        <v>51</v>
      </c>
      <c r="B52" s="10" t="inlineStr">
        <is>
          <t>29.09 дневная (вт)</t>
        </is>
      </c>
      <c r="C52" s="54" t="n">
        <v>46294.79877314815</v>
      </c>
      <c r="D52" s="54" t="n">
        <v>46294.80799768519</v>
      </c>
      <c r="E52" s="77" t="n">
        <v>0.009224537037037036</v>
      </c>
      <c r="F52" s="10" t="inlineStr">
        <is>
          <t>Отлучка с рабочего места</t>
        </is>
      </c>
      <c r="G52" s="34" t="n">
        <v>0.009224537037037036</v>
      </c>
    </row>
    <row r="53" ht="22" customHeight="1">
      <c r="A53" s="36" t="n">
        <v>52</v>
      </c>
      <c r="B53" s="20" t="inlineStr">
        <is>
          <t>29.09 дневная (вт)</t>
        </is>
      </c>
      <c r="C53" s="78" t="n">
        <v>46294.86681712963</v>
      </c>
      <c r="D53" s="78" t="n">
        <v>46294.875</v>
      </c>
      <c r="E53" s="79" t="n">
        <v>0.00818287037037037</v>
      </c>
      <c r="F53" s="80" t="inlineStr">
        <is>
          <t>Ранний уход: уже не на рабочем месте</t>
        </is>
      </c>
      <c r="G53" s="79" t="n">
        <v>0.00818287037037037</v>
      </c>
    </row>
    <row r="54" ht="22" customHeight="1">
      <c r="A54" s="52" t="n">
        <v>53</v>
      </c>
      <c r="B54" s="10" t="inlineStr">
        <is>
          <t>30.09 дневная (ср)</t>
        </is>
      </c>
      <c r="C54" s="54" t="n">
        <v>46295.46450231481</v>
      </c>
      <c r="D54" s="54" t="n">
        <v>46295.50362268519</v>
      </c>
      <c r="E54" s="77" t="n">
        <v>0.03912037037037037</v>
      </c>
      <c r="F54" s="10" t="inlineStr">
        <is>
          <t>Отлучка с рабочего места</t>
        </is>
      </c>
      <c r="G54" s="34" t="n">
        <v>0.03912037037037037</v>
      </c>
    </row>
    <row r="55" ht="22" customHeight="1">
      <c r="A55" s="52" t="n">
        <v>54</v>
      </c>
      <c r="B55" s="10" t="inlineStr">
        <is>
          <t>30.09 дневная (ср)</t>
        </is>
      </c>
      <c r="C55" s="54" t="n">
        <v>46295.67640046297</v>
      </c>
      <c r="D55" s="54" t="n">
        <v>46295.67876157408</v>
      </c>
      <c r="E55" s="34" t="n">
        <v>0.002361111111111111</v>
      </c>
      <c r="F55" s="10" t="inlineStr">
        <is>
          <t>Отлучка с рабочего места</t>
        </is>
      </c>
      <c r="G55" s="34" t="n">
        <v>0.002361111111111111</v>
      </c>
    </row>
    <row r="56" ht="22" customHeight="1">
      <c r="A56" s="36" t="n">
        <v>55</v>
      </c>
      <c r="B56" s="20" t="inlineStr">
        <is>
          <t>30.09 дневная (ср)</t>
        </is>
      </c>
      <c r="C56" s="78" t="n">
        <v>46295.87200231481</v>
      </c>
      <c r="D56" s="78" t="n">
        <v>46295.875</v>
      </c>
      <c r="E56" s="79" t="n">
        <v>0.002997685185185185</v>
      </c>
      <c r="F56" s="80" t="inlineStr">
        <is>
          <t>Ранний уход: уже не на рабочем месте</t>
        </is>
      </c>
      <c r="G56" s="79" t="n">
        <v>0.002997685185185185</v>
      </c>
    </row>
    <row r="58">
      <c r="B58" s="84" t="inlineStr">
        <is>
          <t>Итого длительность перечисленных интервалов</t>
        </is>
      </c>
      <c r="E58" s="85">
        <f>SUM(E2:E56)</f>
        <v/>
      </c>
    </row>
    <row r="60">
      <c r="B60" s="69" t="inlineStr">
        <is>
          <t>Интервалы разного вида складывать между собой как «время отсутствия» можно только внутри одной смены: опоздание, отлучки и ранний уход не пересекаются. Строка итога суммирует все строки листа, включая фрагмент неполной смены.</t>
        </is>
      </c>
    </row>
  </sheetData>
  <autoFilter ref="A1:G56"/>
  <mergeCells count="1">
    <mergeCell ref="B60:G60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24" customWidth="1" min="4" max="4"/>
    <col width="16" customWidth="1" min="5" max="5"/>
    <col width="24" customWidth="1" min="6" max="6"/>
    <col width="62" customWidth="1" min="7" max="7"/>
  </cols>
  <sheetData>
    <row r="1" ht="24" customHeight="1">
      <c r="A1" s="7" t="inlineStr">
        <is>
          <t>№</t>
        </is>
      </c>
      <c r="B1" s="7" t="inlineStr">
        <is>
          <t>Смена</t>
        </is>
      </c>
      <c r="C1" s="7" t="inlineStr">
        <is>
          <t>Вход в чистую зону</t>
        </is>
      </c>
      <c r="D1" s="7" t="inlineStr">
        <is>
          <t>Выход из чистой зоны</t>
        </is>
      </c>
      <c r="E1" s="7" t="inlineStr">
        <is>
          <t>Длительность</t>
        </is>
      </c>
      <c r="F1" s="7" t="inlineStr">
        <is>
          <t>Из них внутри графика</t>
        </is>
      </c>
      <c r="G1" s="7" t="inlineStr">
        <is>
          <t>Примечание</t>
        </is>
      </c>
    </row>
    <row r="2" ht="20" customHeight="1">
      <c r="A2" s="52" t="n">
        <v>1</v>
      </c>
      <c r="B2" s="10" t="inlineStr">
        <is>
          <t>31.08–01.09 ночная (пн–вт)</t>
        </is>
      </c>
      <c r="C2" s="54" t="n">
        <v>46266.2391087963</v>
      </c>
      <c r="D2" s="75" t="n">
        <v>46266.37475694445</v>
      </c>
      <c r="E2" s="34" t="n">
        <v>0.1356481481481482</v>
      </c>
      <c r="F2" s="34" t="n">
        <v>0.1356481481481482</v>
      </c>
      <c r="G2" s="39" t="inlineStr">
        <is>
          <t>Первый вход; Последний выход меньше чем на минуту раньше конца смены</t>
        </is>
      </c>
    </row>
    <row r="3" ht="20" customHeight="1">
      <c r="A3" s="52" t="n">
        <v>2</v>
      </c>
      <c r="B3" s="10" t="inlineStr">
        <is>
          <t>01.09–02.09 ночная (вт–ср)</t>
        </is>
      </c>
      <c r="C3" s="54" t="n">
        <v>46266.86491898148</v>
      </c>
      <c r="D3" s="54" t="n">
        <v>46266.92142361111</v>
      </c>
      <c r="E3" s="34" t="n">
        <v>0.05650462962962963</v>
      </c>
      <c r="F3" s="34" t="n">
        <v>0.04642361111111111</v>
      </c>
      <c r="G3" s="10" t="inlineStr">
        <is>
          <t>Первый вход до начала смены</t>
        </is>
      </c>
    </row>
    <row r="4" ht="20" customHeight="1">
      <c r="A4" s="52" t="n">
        <v>3</v>
      </c>
      <c r="B4" s="10" t="inlineStr">
        <is>
          <t>01.09–02.09 ночная (вт–ср)</t>
        </is>
      </c>
      <c r="C4" s="54" t="n">
        <v>46266.92221064815</v>
      </c>
      <c r="D4" s="54" t="n">
        <v>46266.92959490741</v>
      </c>
      <c r="E4" s="34" t="n">
        <v>0.00738425925925926</v>
      </c>
      <c r="F4" s="34" t="n">
        <v>0.00738425925925926</v>
      </c>
      <c r="G4" s="10" t="inlineStr">
        <is>
          <t>Находился на рабочем месте</t>
        </is>
      </c>
    </row>
    <row r="5" ht="20" customHeight="1">
      <c r="A5" s="52" t="n">
        <v>4</v>
      </c>
      <c r="B5" s="10" t="inlineStr">
        <is>
          <t>01.09–02.09 ночная (вт–ср)</t>
        </is>
      </c>
      <c r="C5" s="54" t="n">
        <v>46266.9453125</v>
      </c>
      <c r="D5" s="54" t="n">
        <v>46267.29430555556</v>
      </c>
      <c r="E5" s="34" t="n">
        <v>0.3489930555555555</v>
      </c>
      <c r="F5" s="34" t="n">
        <v>0.3489930555555555</v>
      </c>
      <c r="G5" s="10" t="inlineStr">
        <is>
          <t>Находился на рабочем месте</t>
        </is>
      </c>
    </row>
    <row r="6" ht="20" customHeight="1">
      <c r="A6" s="52" t="n">
        <v>5</v>
      </c>
      <c r="B6" s="10" t="inlineStr">
        <is>
          <t>01.09–02.09 ночная (вт–ср)</t>
        </is>
      </c>
      <c r="C6" s="54" t="n">
        <v>46267.32278935185</v>
      </c>
      <c r="D6" s="60" t="n">
        <v>46267.37123842593</v>
      </c>
      <c r="E6" s="34" t="n">
        <v>0.04844907407407407</v>
      </c>
      <c r="F6" s="34" t="n">
        <v>0.04844907407407407</v>
      </c>
      <c r="G6" s="80" t="inlineStr">
        <is>
          <t>Последний выход — ранний уход</t>
        </is>
      </c>
    </row>
    <row r="7" ht="20" customHeight="1">
      <c r="A7" s="52" t="n">
        <v>6</v>
      </c>
      <c r="B7" s="10" t="inlineStr">
        <is>
          <t>05.09 дневная (сб)</t>
        </is>
      </c>
      <c r="C7" s="54" t="n">
        <v>46270.36547453704</v>
      </c>
      <c r="D7" s="54" t="n">
        <v>46270.51028935185</v>
      </c>
      <c r="E7" s="34" t="n">
        <v>0.1448148148148148</v>
      </c>
      <c r="F7" s="34" t="n">
        <v>0.1352893518518518</v>
      </c>
      <c r="G7" s="10" t="inlineStr">
        <is>
          <t>Первый вход до начала смены</t>
        </is>
      </c>
    </row>
    <row r="8" ht="20" customHeight="1">
      <c r="A8" s="52" t="n">
        <v>7</v>
      </c>
      <c r="B8" s="10" t="inlineStr">
        <is>
          <t>05.09 дневная (сб)</t>
        </is>
      </c>
      <c r="C8" s="54" t="n">
        <v>46270.52151620371</v>
      </c>
      <c r="D8" s="54" t="n">
        <v>46270.67166666667</v>
      </c>
      <c r="E8" s="34" t="n">
        <v>0.150150462962963</v>
      </c>
      <c r="F8" s="34" t="n">
        <v>0.150150462962963</v>
      </c>
      <c r="G8" s="10" t="inlineStr">
        <is>
          <t>Находился на рабочем месте</t>
        </is>
      </c>
    </row>
    <row r="9" ht="20" customHeight="1">
      <c r="A9" s="52" t="n">
        <v>8</v>
      </c>
      <c r="B9" s="10" t="inlineStr">
        <is>
          <t>05.09 дневная (сб)</t>
        </is>
      </c>
      <c r="C9" s="54" t="n">
        <v>46270.69424768518</v>
      </c>
      <c r="D9" s="54" t="n">
        <v>46270.79846064815</v>
      </c>
      <c r="E9" s="34" t="n">
        <v>0.104212962962963</v>
      </c>
      <c r="F9" s="34" t="n">
        <v>0.104212962962963</v>
      </c>
      <c r="G9" s="10" t="inlineStr">
        <is>
          <t>Находился на рабочем месте</t>
        </is>
      </c>
    </row>
    <row r="10" ht="20" customHeight="1">
      <c r="A10" s="52" t="n">
        <v>9</v>
      </c>
      <c r="B10" s="10" t="inlineStr">
        <is>
          <t>05.09 дневная (сб)</t>
        </is>
      </c>
      <c r="C10" s="54" t="n">
        <v>46270.82094907408</v>
      </c>
      <c r="D10" s="60" t="n">
        <v>46270.8734837963</v>
      </c>
      <c r="E10" s="34" t="n">
        <v>0.05253472222222222</v>
      </c>
      <c r="F10" s="34" t="n">
        <v>0.05253472222222222</v>
      </c>
      <c r="G10" s="80" t="inlineStr">
        <is>
          <t>Последний выход — ранний уход</t>
        </is>
      </c>
    </row>
    <row r="11" ht="20" customHeight="1">
      <c r="A11" s="52" t="n">
        <v>10</v>
      </c>
      <c r="B11" s="10" t="inlineStr">
        <is>
          <t>06.09 дневная (вс)</t>
        </is>
      </c>
      <c r="C11" s="54" t="n">
        <v>46271.37086805556</v>
      </c>
      <c r="D11" s="54" t="n">
        <v>46271.40710648148</v>
      </c>
      <c r="E11" s="34" t="n">
        <v>0.03623842592592592</v>
      </c>
      <c r="F11" s="34" t="n">
        <v>0.03210648148148148</v>
      </c>
      <c r="G11" s="10" t="inlineStr">
        <is>
          <t>Первый вход до начала смены</t>
        </is>
      </c>
    </row>
    <row r="12" ht="20" customHeight="1">
      <c r="A12" s="52" t="n">
        <v>11</v>
      </c>
      <c r="B12" s="10" t="inlineStr">
        <is>
          <t>06.09 дневная (вс)</t>
        </is>
      </c>
      <c r="C12" s="54" t="n">
        <v>46271.40768518519</v>
      </c>
      <c r="D12" s="54" t="n">
        <v>46271.53900462963</v>
      </c>
      <c r="E12" s="34" t="n">
        <v>0.1313194444444444</v>
      </c>
      <c r="F12" s="34" t="n">
        <v>0.1313194444444444</v>
      </c>
      <c r="G12" s="10" t="inlineStr">
        <is>
          <t>Находился на рабочем месте</t>
        </is>
      </c>
    </row>
    <row r="13" ht="20" customHeight="1">
      <c r="A13" s="52" t="n">
        <v>12</v>
      </c>
      <c r="B13" s="10" t="inlineStr">
        <is>
          <t>06.09 дневная (вс)</t>
        </is>
      </c>
      <c r="C13" s="54" t="n">
        <v>46271.57741898148</v>
      </c>
      <c r="D13" s="54" t="n">
        <v>46271.7896875</v>
      </c>
      <c r="E13" s="34" t="n">
        <v>0.2122685185185185</v>
      </c>
      <c r="F13" s="34" t="n">
        <v>0.2122685185185185</v>
      </c>
      <c r="G13" s="10" t="inlineStr">
        <is>
          <t>Находился на рабочем месте</t>
        </is>
      </c>
    </row>
    <row r="14" ht="20" customHeight="1">
      <c r="A14" s="52" t="n">
        <v>13</v>
      </c>
      <c r="B14" s="10" t="inlineStr">
        <is>
          <t>06.09 дневная (вс)</t>
        </is>
      </c>
      <c r="C14" s="54" t="n">
        <v>46271.81405092592</v>
      </c>
      <c r="D14" s="54" t="n">
        <v>46271.87740740741</v>
      </c>
      <c r="E14" s="34" t="n">
        <v>0.06335648148148149</v>
      </c>
      <c r="F14" s="34" t="n">
        <v>0.06094907407407407</v>
      </c>
      <c r="G14" s="10" t="inlineStr">
        <is>
          <t>Последний выход после конца смены</t>
        </is>
      </c>
    </row>
    <row r="15" ht="20" customHeight="1">
      <c r="A15" s="52" t="n">
        <v>14</v>
      </c>
      <c r="B15" s="10" t="inlineStr">
        <is>
          <t>07.09–08.09 ночная (пн–вт)</t>
        </is>
      </c>
      <c r="C15" s="54" t="n">
        <v>46272.87091435185</v>
      </c>
      <c r="D15" s="54" t="n">
        <v>46273.05680555556</v>
      </c>
      <c r="E15" s="34" t="n">
        <v>0.1858912037037037</v>
      </c>
      <c r="F15" s="34" t="n">
        <v>0.1818055555555556</v>
      </c>
      <c r="G15" s="10" t="inlineStr">
        <is>
          <t>Первый вход до начала смены</t>
        </is>
      </c>
    </row>
    <row r="16" ht="20" customHeight="1">
      <c r="A16" s="52" t="n">
        <v>15</v>
      </c>
      <c r="B16" s="10" t="inlineStr">
        <is>
          <t>07.09–08.09 ночная (пн–вт)</t>
        </is>
      </c>
      <c r="C16" s="54" t="n">
        <v>46273.06527777778</v>
      </c>
      <c r="D16" s="54" t="n">
        <v>46273.21684027778</v>
      </c>
      <c r="E16" s="34" t="n">
        <v>0.1515625</v>
      </c>
      <c r="F16" s="34" t="n">
        <v>0.1515625</v>
      </c>
      <c r="G16" s="10" t="inlineStr">
        <is>
          <t>Находился на рабочем месте</t>
        </is>
      </c>
    </row>
    <row r="17" ht="20" customHeight="1">
      <c r="A17" s="52" t="n">
        <v>16</v>
      </c>
      <c r="B17" s="10" t="inlineStr">
        <is>
          <t>07.09–08.09 ночная (пн–вт)</t>
        </is>
      </c>
      <c r="C17" s="54" t="n">
        <v>46273.21857638889</v>
      </c>
      <c r="D17" s="54" t="n">
        <v>46273.26131944444</v>
      </c>
      <c r="E17" s="34" t="n">
        <v>0.04274305555555555</v>
      </c>
      <c r="F17" s="34" t="n">
        <v>0.04274305555555555</v>
      </c>
      <c r="G17" s="10" t="inlineStr">
        <is>
          <t>Находился на рабочем месте</t>
        </is>
      </c>
    </row>
    <row r="18" ht="20" customHeight="1">
      <c r="A18" s="52" t="n">
        <v>17</v>
      </c>
      <c r="B18" s="10" t="inlineStr">
        <is>
          <t>07.09–08.09 ночная (пн–вт)</t>
        </is>
      </c>
      <c r="C18" s="54" t="n">
        <v>46273.28291666666</v>
      </c>
      <c r="D18" s="60" t="n">
        <v>46273.37217592593</v>
      </c>
      <c r="E18" s="34" t="n">
        <v>0.08925925925925926</v>
      </c>
      <c r="F18" s="34" t="n">
        <v>0.08925925925925926</v>
      </c>
      <c r="G18" s="80" t="inlineStr">
        <is>
          <t>Последний выход — ранний уход</t>
        </is>
      </c>
    </row>
    <row r="19" ht="20" customHeight="1">
      <c r="A19" s="52" t="n">
        <v>18</v>
      </c>
      <c r="B19" s="10" t="inlineStr">
        <is>
          <t>08.09–09.09 ночная (вт–ср)</t>
        </is>
      </c>
      <c r="C19" s="63" t="n">
        <v>46273.87586805555</v>
      </c>
      <c r="D19" s="54" t="n">
        <v>46274.12827546296</v>
      </c>
      <c r="E19" s="34" t="n">
        <v>0.2524074074074074</v>
      </c>
      <c r="F19" s="34" t="n">
        <v>0.2524074074074074</v>
      </c>
      <c r="G19" s="83" t="inlineStr">
        <is>
          <t>Первый вход — опоздание</t>
        </is>
      </c>
    </row>
    <row r="20" ht="20" customHeight="1">
      <c r="A20" s="52" t="n">
        <v>19</v>
      </c>
      <c r="B20" s="10" t="inlineStr">
        <is>
          <t>08.09–09.09 ночная (вт–ср)</t>
        </is>
      </c>
      <c r="C20" s="54" t="n">
        <v>46274.15606481482</v>
      </c>
      <c r="D20" s="54" t="n">
        <v>46274.30565972222</v>
      </c>
      <c r="E20" s="34" t="n">
        <v>0.1495949074074074</v>
      </c>
      <c r="F20" s="34" t="n">
        <v>0.1495949074074074</v>
      </c>
      <c r="G20" s="10" t="inlineStr">
        <is>
          <t>Находился на рабочем месте</t>
        </is>
      </c>
    </row>
    <row r="21" ht="20" customHeight="1">
      <c r="A21" s="52" t="n">
        <v>20</v>
      </c>
      <c r="B21" s="10" t="inlineStr">
        <is>
          <t>08.09–09.09 ночная (вт–ср)</t>
        </is>
      </c>
      <c r="C21" s="54" t="n">
        <v>46274.32649305555</v>
      </c>
      <c r="D21" s="75" t="n">
        <v>46274.37491898148</v>
      </c>
      <c r="E21" s="34" t="n">
        <v>0.04842592592592593</v>
      </c>
      <c r="F21" s="34" t="n">
        <v>0.04842592592592593</v>
      </c>
      <c r="G21" s="39" t="inlineStr">
        <is>
          <t>Последний выход меньше чем на минуту раньше конца смены</t>
        </is>
      </c>
    </row>
    <row r="22" ht="20" customHeight="1">
      <c r="A22" s="52" t="n">
        <v>21</v>
      </c>
      <c r="B22" s="10" t="inlineStr">
        <is>
          <t>09.09–10.09 ночная (ср–чт)</t>
        </is>
      </c>
      <c r="C22" s="54" t="n">
        <v>46274.86817129629</v>
      </c>
      <c r="D22" s="54" t="n">
        <v>46275.07413194444</v>
      </c>
      <c r="E22" s="34" t="n">
        <v>0.2059606481481482</v>
      </c>
      <c r="F22" s="34" t="n">
        <v>0.1991319444444444</v>
      </c>
      <c r="G22" s="10" t="inlineStr">
        <is>
          <t>Первый вход до начала смены</t>
        </is>
      </c>
    </row>
    <row r="23" ht="20" customHeight="1">
      <c r="A23" s="52" t="n">
        <v>22</v>
      </c>
      <c r="B23" s="10" t="inlineStr">
        <is>
          <t>09.09–10.09 ночная (ср–чт)</t>
        </is>
      </c>
      <c r="C23" s="54" t="n">
        <v>46275.1071875</v>
      </c>
      <c r="D23" s="54" t="n">
        <v>46275.30873842593</v>
      </c>
      <c r="E23" s="34" t="n">
        <v>0.2015509259259259</v>
      </c>
      <c r="F23" s="34" t="n">
        <v>0.2015509259259259</v>
      </c>
      <c r="G23" s="10" t="inlineStr">
        <is>
          <t>Находился на рабочем месте</t>
        </is>
      </c>
    </row>
    <row r="24" ht="20" customHeight="1">
      <c r="A24" s="52" t="n">
        <v>23</v>
      </c>
      <c r="B24" s="10" t="inlineStr">
        <is>
          <t>09.09–10.09 ночная (ср–чт)</t>
        </is>
      </c>
      <c r="C24" s="54" t="n">
        <v>46275.33039351852</v>
      </c>
      <c r="D24" s="54" t="n">
        <v>46275.37524305555</v>
      </c>
      <c r="E24" s="34" t="n">
        <v>0.04484953703703703</v>
      </c>
      <c r="F24" s="34" t="n">
        <v>0.04460648148148148</v>
      </c>
      <c r="G24" s="10" t="inlineStr">
        <is>
          <t>Последний выход после конца смены</t>
        </is>
      </c>
    </row>
    <row r="25" ht="20" customHeight="1">
      <c r="A25" s="52" t="n">
        <v>24</v>
      </c>
      <c r="B25" s="10" t="inlineStr">
        <is>
          <t>13.09 дневная (вс)</t>
        </is>
      </c>
      <c r="C25" s="54" t="n">
        <v>46278.36165509259</v>
      </c>
      <c r="D25" s="54" t="n">
        <v>46278.50424768519</v>
      </c>
      <c r="E25" s="34" t="n">
        <v>0.1425925925925926</v>
      </c>
      <c r="F25" s="34" t="n">
        <v>0.1292476851851852</v>
      </c>
      <c r="G25" s="10" t="inlineStr">
        <is>
          <t>Первый вход до начала смены</t>
        </is>
      </c>
    </row>
    <row r="26" ht="20" customHeight="1">
      <c r="A26" s="52" t="n">
        <v>25</v>
      </c>
      <c r="B26" s="10" t="inlineStr">
        <is>
          <t>13.09 дневная (вс)</t>
        </is>
      </c>
      <c r="C26" s="54" t="n">
        <v>46278.54325231481</v>
      </c>
      <c r="D26" s="54" t="n">
        <v>46278.62167824074</v>
      </c>
      <c r="E26" s="34" t="n">
        <v>0.07842592592592593</v>
      </c>
      <c r="F26" s="34" t="n">
        <v>0.07842592592592593</v>
      </c>
      <c r="G26" s="10" t="inlineStr">
        <is>
          <t>Находился на рабочем месте</t>
        </is>
      </c>
    </row>
    <row r="27" ht="20" customHeight="1">
      <c r="A27" s="52" t="n">
        <v>26</v>
      </c>
      <c r="B27" s="10" t="inlineStr">
        <is>
          <t>13.09 дневная (вс)</t>
        </is>
      </c>
      <c r="C27" s="54" t="n">
        <v>46278.62430555555</v>
      </c>
      <c r="D27" s="54" t="n">
        <v>46278.76810185185</v>
      </c>
      <c r="E27" s="34" t="n">
        <v>0.1437962962962963</v>
      </c>
      <c r="F27" s="34" t="n">
        <v>0.1437962962962963</v>
      </c>
      <c r="G27" s="10" t="inlineStr">
        <is>
          <t>Находился на рабочем месте</t>
        </is>
      </c>
    </row>
    <row r="28" ht="20" customHeight="1">
      <c r="A28" s="52" t="n">
        <v>27</v>
      </c>
      <c r="B28" s="10" t="inlineStr">
        <is>
          <t>13.09 дневная (вс)</t>
        </is>
      </c>
      <c r="C28" s="54" t="n">
        <v>46278.77584490741</v>
      </c>
      <c r="D28" s="54" t="n">
        <v>46278.77608796296</v>
      </c>
      <c r="E28" s="34" t="n">
        <v>0.0002430555555555555</v>
      </c>
      <c r="F28" s="34" t="n">
        <v>0.0002430555555555555</v>
      </c>
      <c r="G28" s="10" t="inlineStr">
        <is>
          <t>Находился на рабочем месте</t>
        </is>
      </c>
    </row>
    <row r="29" ht="20" customHeight="1">
      <c r="A29" s="52" t="n">
        <v>28</v>
      </c>
      <c r="B29" s="10" t="inlineStr">
        <is>
          <t>13.09 дневная (вс)</t>
        </is>
      </c>
      <c r="C29" s="54" t="n">
        <v>46278.78925925926</v>
      </c>
      <c r="D29" s="60" t="n">
        <v>46278.86550925926</v>
      </c>
      <c r="E29" s="34" t="n">
        <v>0.07625</v>
      </c>
      <c r="F29" s="34" t="n">
        <v>0.07625</v>
      </c>
      <c r="G29" s="80" t="inlineStr">
        <is>
          <t>Последний выход — ранний уход</t>
        </is>
      </c>
    </row>
    <row r="30" ht="20" customHeight="1">
      <c r="A30" s="52" t="n">
        <v>29</v>
      </c>
      <c r="B30" s="10" t="inlineStr">
        <is>
          <t>14.09 дневная (пн)</t>
        </is>
      </c>
      <c r="C30" s="54" t="n">
        <v>46279.36908564815</v>
      </c>
      <c r="D30" s="54" t="n">
        <v>46279.54020833333</v>
      </c>
      <c r="E30" s="34" t="n">
        <v>0.1711226851851852</v>
      </c>
      <c r="F30" s="34" t="n">
        <v>0.1652083333333333</v>
      </c>
      <c r="G30" s="10" t="inlineStr">
        <is>
          <t>Первый вход до начала смены</t>
        </is>
      </c>
    </row>
    <row r="31" ht="20" customHeight="1">
      <c r="A31" s="52" t="n">
        <v>30</v>
      </c>
      <c r="B31" s="10" t="inlineStr">
        <is>
          <t>14.09 дневная (пн)</t>
        </is>
      </c>
      <c r="C31" s="54" t="n">
        <v>46279.55452546296</v>
      </c>
      <c r="D31" s="54" t="n">
        <v>46279.64196759259</v>
      </c>
      <c r="E31" s="34" t="n">
        <v>0.08744212962962963</v>
      </c>
      <c r="F31" s="34" t="n">
        <v>0.08744212962962963</v>
      </c>
      <c r="G31" s="10" t="inlineStr">
        <is>
          <t>Находился на рабочем месте</t>
        </is>
      </c>
    </row>
    <row r="32" ht="20" customHeight="1">
      <c r="A32" s="52" t="n">
        <v>31</v>
      </c>
      <c r="B32" s="10" t="inlineStr">
        <is>
          <t>14.09 дневная (пн)</t>
        </is>
      </c>
      <c r="C32" s="54" t="n">
        <v>46279.66122685185</v>
      </c>
      <c r="D32" s="54" t="n">
        <v>46279.8202662037</v>
      </c>
      <c r="E32" s="34" t="n">
        <v>0.1590393518518519</v>
      </c>
      <c r="F32" s="34" t="n">
        <v>0.1590393518518519</v>
      </c>
      <c r="G32" s="10" t="inlineStr">
        <is>
          <t>Находился на рабочем месте</t>
        </is>
      </c>
    </row>
    <row r="33" ht="20" customHeight="1">
      <c r="A33" s="52" t="n">
        <v>32</v>
      </c>
      <c r="B33" s="10" t="inlineStr">
        <is>
          <t>14.09 дневная (пн)</t>
        </is>
      </c>
      <c r="C33" s="54" t="n">
        <v>46279.83189814815</v>
      </c>
      <c r="D33" s="75" t="n">
        <v>46279.87496527778</v>
      </c>
      <c r="E33" s="34" t="n">
        <v>0.04306712962962963</v>
      </c>
      <c r="F33" s="34" t="n">
        <v>0.04306712962962963</v>
      </c>
      <c r="G33" s="39" t="inlineStr">
        <is>
          <t>Последний выход меньше чем на минуту раньше конца смены</t>
        </is>
      </c>
    </row>
    <row r="34" ht="20" customHeight="1">
      <c r="A34" s="52" t="n">
        <v>33</v>
      </c>
      <c r="B34" s="10" t="inlineStr">
        <is>
          <t>22.09 дневная (вт)</t>
        </is>
      </c>
      <c r="C34" s="54" t="n">
        <v>46287.37458333333</v>
      </c>
      <c r="D34" s="54" t="n">
        <v>46287.55701388889</v>
      </c>
      <c r="E34" s="34" t="n">
        <v>0.1824305555555556</v>
      </c>
      <c r="F34" s="34" t="n">
        <v>0.1820138888888889</v>
      </c>
      <c r="G34" s="10" t="inlineStr">
        <is>
          <t>Первый вход до начала смены</t>
        </is>
      </c>
    </row>
    <row r="35" ht="20" customHeight="1">
      <c r="A35" s="52" t="n">
        <v>34</v>
      </c>
      <c r="B35" s="10" t="inlineStr">
        <is>
          <t>22.09 дневная (вт)</t>
        </is>
      </c>
      <c r="C35" s="54" t="n">
        <v>46287.59081018518</v>
      </c>
      <c r="D35" s="54" t="n">
        <v>46287.67934027778</v>
      </c>
      <c r="E35" s="34" t="n">
        <v>0.08853009259259259</v>
      </c>
      <c r="F35" s="34" t="n">
        <v>0.08853009259259259</v>
      </c>
      <c r="G35" s="10" t="inlineStr">
        <is>
          <t>Находился на рабочем месте</t>
        </is>
      </c>
    </row>
    <row r="36" ht="20" customHeight="1">
      <c r="A36" s="52" t="n">
        <v>35</v>
      </c>
      <c r="B36" s="10" t="inlineStr">
        <is>
          <t>22.09 дневная (вт)</t>
        </is>
      </c>
      <c r="C36" s="54" t="n">
        <v>46287.71540509259</v>
      </c>
      <c r="D36" s="54" t="n">
        <v>46287.74594907407</v>
      </c>
      <c r="E36" s="34" t="n">
        <v>0.03054398148148148</v>
      </c>
      <c r="F36" s="34" t="n">
        <v>0.03054398148148148</v>
      </c>
      <c r="G36" s="10" t="inlineStr">
        <is>
          <t>Находился на рабочем месте</t>
        </is>
      </c>
    </row>
    <row r="37" ht="20" customHeight="1">
      <c r="A37" s="52" t="n">
        <v>36</v>
      </c>
      <c r="B37" s="10" t="inlineStr">
        <is>
          <t>22.09 дневная (вт)</t>
        </is>
      </c>
      <c r="C37" s="54" t="n">
        <v>46287.74668981481</v>
      </c>
      <c r="D37" s="54" t="n">
        <v>46287.75002314815</v>
      </c>
      <c r="E37" s="34" t="n">
        <v>0.003333333333333334</v>
      </c>
      <c r="F37" s="34" t="n">
        <v>0.003333333333333334</v>
      </c>
      <c r="G37" s="10" t="inlineStr">
        <is>
          <t>Находился на рабочем месте</t>
        </is>
      </c>
    </row>
    <row r="38" ht="20" customHeight="1">
      <c r="A38" s="52" t="n">
        <v>37</v>
      </c>
      <c r="B38" s="10" t="inlineStr">
        <is>
          <t>22.09 дневная (вт)</t>
        </is>
      </c>
      <c r="C38" s="54" t="n">
        <v>46287.77332175926</v>
      </c>
      <c r="D38" s="54" t="n">
        <v>46287.87746527778</v>
      </c>
      <c r="E38" s="34" t="n">
        <v>0.1041435185185185</v>
      </c>
      <c r="F38" s="34" t="n">
        <v>0.1016782407407407</v>
      </c>
      <c r="G38" s="10" t="inlineStr">
        <is>
          <t>Последний выход после конца смены</t>
        </is>
      </c>
    </row>
    <row r="39" ht="20" customHeight="1">
      <c r="A39" s="52" t="n">
        <v>38</v>
      </c>
      <c r="B39" s="10" t="inlineStr">
        <is>
          <t>24.09–25.09 ночная (чт–пт)</t>
        </is>
      </c>
      <c r="C39" s="54" t="n">
        <v>46289.86350694444</v>
      </c>
      <c r="D39" s="54" t="n">
        <v>46289.89809027778</v>
      </c>
      <c r="E39" s="34" t="n">
        <v>0.03458333333333333</v>
      </c>
      <c r="F39" s="34" t="n">
        <v>0.02309027777777778</v>
      </c>
      <c r="G39" s="10" t="inlineStr">
        <is>
          <t>Первый вход до начала смены</t>
        </is>
      </c>
    </row>
    <row r="40" ht="20" customHeight="1">
      <c r="A40" s="52" t="n">
        <v>39</v>
      </c>
      <c r="B40" s="10" t="inlineStr">
        <is>
          <t>24.09–25.09 ночная (чт–пт)</t>
        </is>
      </c>
      <c r="C40" s="54" t="n">
        <v>46289.8987037037</v>
      </c>
      <c r="D40" s="54" t="n">
        <v>46289.95715277778</v>
      </c>
      <c r="E40" s="34" t="n">
        <v>0.05844907407407408</v>
      </c>
      <c r="F40" s="34" t="n">
        <v>0.05844907407407408</v>
      </c>
      <c r="G40" s="10" t="inlineStr">
        <is>
          <t>Находился на рабочем месте</t>
        </is>
      </c>
    </row>
    <row r="41" ht="20" customHeight="1">
      <c r="A41" s="52" t="n">
        <v>40</v>
      </c>
      <c r="B41" s="10" t="inlineStr">
        <is>
          <t>24.09–25.09 ночная (чт–пт)</t>
        </is>
      </c>
      <c r="C41" s="54" t="n">
        <v>46289.96395833333</v>
      </c>
      <c r="D41" s="54" t="n">
        <v>46290.07189814815</v>
      </c>
      <c r="E41" s="34" t="n">
        <v>0.1079398148148148</v>
      </c>
      <c r="F41" s="34" t="n">
        <v>0.1079398148148148</v>
      </c>
      <c r="G41" s="10" t="inlineStr">
        <is>
          <t>Находился на рабочем месте</t>
        </is>
      </c>
    </row>
    <row r="42" ht="20" customHeight="1">
      <c r="A42" s="52" t="n">
        <v>41</v>
      </c>
      <c r="B42" s="10" t="inlineStr">
        <is>
          <t>24.09–25.09 ночная (чт–пт)</t>
        </is>
      </c>
      <c r="C42" s="54" t="n">
        <v>46290.07302083333</v>
      </c>
      <c r="D42" s="54" t="n">
        <v>46290.21623842593</v>
      </c>
      <c r="E42" s="34" t="n">
        <v>0.1432175925925926</v>
      </c>
      <c r="F42" s="34" t="n">
        <v>0.1432175925925926</v>
      </c>
      <c r="G42" s="10" t="inlineStr">
        <is>
          <t>Находился на рабочем месте</t>
        </is>
      </c>
    </row>
    <row r="43" ht="20" customHeight="1">
      <c r="A43" s="52" t="n">
        <v>42</v>
      </c>
      <c r="B43" s="10" t="inlineStr">
        <is>
          <t>24.09–25.09 ночная (чт–пт)</t>
        </is>
      </c>
      <c r="C43" s="54" t="n">
        <v>46290.24744212963</v>
      </c>
      <c r="D43" s="60" t="n">
        <v>46290.37423611111</v>
      </c>
      <c r="E43" s="34" t="n">
        <v>0.1267939814814815</v>
      </c>
      <c r="F43" s="34" t="n">
        <v>0.1267939814814815</v>
      </c>
      <c r="G43" s="80" t="inlineStr">
        <is>
          <t>Последний выход — ранний уход</t>
        </is>
      </c>
    </row>
    <row r="44" ht="20" customHeight="1">
      <c r="A44" s="52" t="n">
        <v>43</v>
      </c>
      <c r="B44" s="10" t="inlineStr">
        <is>
          <t>25.09–26.09 ночная (пт–сб)</t>
        </is>
      </c>
      <c r="C44" s="54" t="n">
        <v>46290.86337962963</v>
      </c>
      <c r="D44" s="54" t="n">
        <v>46290.94084490741</v>
      </c>
      <c r="E44" s="34" t="n">
        <v>0.07746527777777777</v>
      </c>
      <c r="F44" s="34" t="n">
        <v>0.06584490740740741</v>
      </c>
      <c r="G44" s="10" t="inlineStr">
        <is>
          <t>Первый вход до начала смены</t>
        </is>
      </c>
    </row>
    <row r="45" ht="20" customHeight="1">
      <c r="A45" s="52" t="n">
        <v>44</v>
      </c>
      <c r="B45" s="10" t="inlineStr">
        <is>
          <t>25.09–26.09 ночная (пт–сб)</t>
        </is>
      </c>
      <c r="C45" s="54" t="n">
        <v>46290.95085648148</v>
      </c>
      <c r="D45" s="54" t="n">
        <v>46291.06895833334</v>
      </c>
      <c r="E45" s="34" t="n">
        <v>0.1181018518518518</v>
      </c>
      <c r="F45" s="34" t="n">
        <v>0.1181018518518518</v>
      </c>
      <c r="G45" s="10" t="inlineStr">
        <is>
          <t>Находился на рабочем месте</t>
        </is>
      </c>
    </row>
    <row r="46" ht="20" customHeight="1">
      <c r="A46" s="52" t="n">
        <v>45</v>
      </c>
      <c r="B46" s="10" t="inlineStr">
        <is>
          <t>25.09–26.09 ночная (пт–сб)</t>
        </is>
      </c>
      <c r="C46" s="54" t="n">
        <v>46291.0703587963</v>
      </c>
      <c r="D46" s="54" t="n">
        <v>46291.21351851852</v>
      </c>
      <c r="E46" s="34" t="n">
        <v>0.1431597222222222</v>
      </c>
      <c r="F46" s="34" t="n">
        <v>0.1431597222222222</v>
      </c>
      <c r="G46" s="10" t="inlineStr">
        <is>
          <t>Находился на рабочем месте</t>
        </is>
      </c>
    </row>
    <row r="47" ht="20" customHeight="1">
      <c r="A47" s="52" t="n">
        <v>46</v>
      </c>
      <c r="B47" s="10" t="inlineStr">
        <is>
          <t>25.09–26.09 ночная (пт–сб)</t>
        </is>
      </c>
      <c r="C47" s="54" t="n">
        <v>46291.23690972223</v>
      </c>
      <c r="D47" s="60" t="n">
        <v>46291.37106481481</v>
      </c>
      <c r="E47" s="34" t="n">
        <v>0.1341550925925926</v>
      </c>
      <c r="F47" s="34" t="n">
        <v>0.1341550925925926</v>
      </c>
      <c r="G47" s="80" t="inlineStr">
        <is>
          <t>Последний выход — ранний уход</t>
        </is>
      </c>
    </row>
    <row r="48" ht="20" customHeight="1">
      <c r="A48" s="52" t="n">
        <v>47</v>
      </c>
      <c r="B48" s="10" t="inlineStr">
        <is>
          <t>26.09–27.09 ночная (сб–вс)</t>
        </is>
      </c>
      <c r="C48" s="54" t="n">
        <v>46291.86349537037</v>
      </c>
      <c r="D48" s="54" t="n">
        <v>46292.08171296296</v>
      </c>
      <c r="E48" s="34" t="n">
        <v>0.2182175925925926</v>
      </c>
      <c r="F48" s="34" t="n">
        <v>0.206712962962963</v>
      </c>
      <c r="G48" s="10" t="inlineStr">
        <is>
          <t>Первый вход до начала смены</t>
        </is>
      </c>
    </row>
    <row r="49" ht="20" customHeight="1">
      <c r="A49" s="52" t="n">
        <v>48</v>
      </c>
      <c r="B49" s="10" t="inlineStr">
        <is>
          <t>26.09–27.09 ночная (сб–вс)</t>
        </is>
      </c>
      <c r="C49" s="54" t="n">
        <v>46292.09583333333</v>
      </c>
      <c r="D49" s="54" t="n">
        <v>46292.21282407407</v>
      </c>
      <c r="E49" s="34" t="n">
        <v>0.1169907407407407</v>
      </c>
      <c r="F49" s="34" t="n">
        <v>0.1169907407407407</v>
      </c>
      <c r="G49" s="10" t="inlineStr">
        <is>
          <t>Находился на рабочем месте</t>
        </is>
      </c>
    </row>
    <row r="50" ht="20" customHeight="1">
      <c r="A50" s="52" t="n">
        <v>49</v>
      </c>
      <c r="B50" s="10" t="inlineStr">
        <is>
          <t>26.09–27.09 ночная (сб–вс)</t>
        </is>
      </c>
      <c r="C50" s="54" t="n">
        <v>46292.22017361111</v>
      </c>
      <c r="D50" s="60" t="n">
        <v>46292.37271990741</v>
      </c>
      <c r="E50" s="34" t="n">
        <v>0.1525462962962963</v>
      </c>
      <c r="F50" s="34" t="n">
        <v>0.1525462962962963</v>
      </c>
      <c r="G50" s="80" t="inlineStr">
        <is>
          <t>Последний выход — ранний уход</t>
        </is>
      </c>
    </row>
    <row r="51" ht="20" customHeight="1">
      <c r="A51" s="52" t="n">
        <v>50</v>
      </c>
      <c r="B51" s="10" t="inlineStr">
        <is>
          <t>29.09 дневная (вт)</t>
        </is>
      </c>
      <c r="C51" s="54" t="n">
        <v>46294.36788194445</v>
      </c>
      <c r="D51" s="54" t="n">
        <v>46294.50798611111</v>
      </c>
      <c r="E51" s="34" t="n">
        <v>0.1401041666666667</v>
      </c>
      <c r="F51" s="34" t="n">
        <v>0.1329861111111111</v>
      </c>
      <c r="G51" s="10" t="inlineStr">
        <is>
          <t>Первый вход до начала смены</t>
        </is>
      </c>
    </row>
    <row r="52" ht="20" customHeight="1">
      <c r="A52" s="52" t="n">
        <v>51</v>
      </c>
      <c r="B52" s="10" t="inlineStr">
        <is>
          <t>29.09 дневная (вт)</t>
        </is>
      </c>
      <c r="C52" s="54" t="n">
        <v>46294.54256944444</v>
      </c>
      <c r="D52" s="54" t="n">
        <v>46294.68196759259</v>
      </c>
      <c r="E52" s="34" t="n">
        <v>0.1393981481481482</v>
      </c>
      <c r="F52" s="34" t="n">
        <v>0.1393981481481482</v>
      </c>
      <c r="G52" s="10" t="inlineStr">
        <is>
          <t>Находился на рабочем месте</t>
        </is>
      </c>
    </row>
    <row r="53" ht="20" customHeight="1">
      <c r="A53" s="52" t="n">
        <v>52</v>
      </c>
      <c r="B53" s="10" t="inlineStr">
        <is>
          <t>29.09 дневная (вт)</t>
        </is>
      </c>
      <c r="C53" s="54" t="n">
        <v>46294.6843287037</v>
      </c>
      <c r="D53" s="54" t="n">
        <v>46294.79877314815</v>
      </c>
      <c r="E53" s="34" t="n">
        <v>0.1144444444444444</v>
      </c>
      <c r="F53" s="34" t="n">
        <v>0.1144444444444444</v>
      </c>
      <c r="G53" s="10" t="inlineStr">
        <is>
          <t>Находился на рабочем месте</t>
        </is>
      </c>
    </row>
    <row r="54" ht="20" customHeight="1">
      <c r="A54" s="52" t="n">
        <v>53</v>
      </c>
      <c r="B54" s="10" t="inlineStr">
        <is>
          <t>29.09 дневная (вт)</t>
        </is>
      </c>
      <c r="C54" s="54" t="n">
        <v>46294.80799768519</v>
      </c>
      <c r="D54" s="60" t="n">
        <v>46294.86681712963</v>
      </c>
      <c r="E54" s="34" t="n">
        <v>0.05881944444444445</v>
      </c>
      <c r="F54" s="34" t="n">
        <v>0.05881944444444445</v>
      </c>
      <c r="G54" s="80" t="inlineStr">
        <is>
          <t>Последний выход — ранний уход</t>
        </is>
      </c>
    </row>
    <row r="55" ht="20" customHeight="1">
      <c r="A55" s="52" t="n">
        <v>54</v>
      </c>
      <c r="B55" s="10" t="inlineStr">
        <is>
          <t>30.09 дневная (ср)</t>
        </is>
      </c>
      <c r="C55" s="54" t="n">
        <v>46295.36804398148</v>
      </c>
      <c r="D55" s="54" t="n">
        <v>46295.46450231481</v>
      </c>
      <c r="E55" s="34" t="n">
        <v>0.09645833333333333</v>
      </c>
      <c r="F55" s="34" t="n">
        <v>0.08950231481481481</v>
      </c>
      <c r="G55" s="10" t="inlineStr">
        <is>
          <t>Первый вход до начала смены</t>
        </is>
      </c>
    </row>
    <row r="56" ht="20" customHeight="1">
      <c r="A56" s="52" t="n">
        <v>55</v>
      </c>
      <c r="B56" s="10" t="inlineStr">
        <is>
          <t>30.09 дневная (ср)</t>
        </is>
      </c>
      <c r="C56" s="54" t="n">
        <v>46295.50362268519</v>
      </c>
      <c r="D56" s="54" t="n">
        <v>46295.67640046297</v>
      </c>
      <c r="E56" s="34" t="n">
        <v>0.1727777777777778</v>
      </c>
      <c r="F56" s="34" t="n">
        <v>0.1727777777777778</v>
      </c>
      <c r="G56" s="10" t="inlineStr">
        <is>
          <t>Находился на рабочем месте</t>
        </is>
      </c>
    </row>
    <row r="57" ht="20" customHeight="1">
      <c r="A57" s="52" t="n">
        <v>56</v>
      </c>
      <c r="B57" s="10" t="inlineStr">
        <is>
          <t>30.09 дневная (ср)</t>
        </is>
      </c>
      <c r="C57" s="54" t="n">
        <v>46295.67876157408</v>
      </c>
      <c r="D57" s="60" t="n">
        <v>46295.87200231481</v>
      </c>
      <c r="E57" s="34" t="n">
        <v>0.1932407407407407</v>
      </c>
      <c r="F57" s="34" t="n">
        <v>0.1932407407407407</v>
      </c>
      <c r="G57" s="80" t="inlineStr">
        <is>
          <t>Последний выход — ранний уход</t>
        </is>
      </c>
    </row>
    <row r="59">
      <c r="B59" s="84" t="inlineStr">
        <is>
          <t>Итого время на рабочем месте</t>
        </is>
      </c>
      <c r="D59" s="86" t="inlineStr">
        <is>
          <t>Сумма</t>
        </is>
      </c>
      <c r="E59" s="85">
        <f>SUM(E2:E57)</f>
        <v/>
      </c>
      <c r="F59" s="85">
        <f>SUM(F2:F57)</f>
        <v/>
      </c>
    </row>
  </sheetData>
  <autoFilter ref="A1:G57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3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6" customWidth="1" min="5" max="5"/>
    <col width="68" customWidth="1" min="6" max="6"/>
  </cols>
  <sheetData>
    <row r="1" ht="24" customHeight="1">
      <c r="A1" s="70" t="inlineStr">
        <is>
          <t>№</t>
        </is>
      </c>
      <c r="B1" s="70" t="inlineStr">
        <is>
          <t>Дата и время</t>
        </is>
      </c>
      <c r="C1" s="70" t="inlineStr">
        <is>
          <t>Событие</t>
        </is>
      </c>
      <c r="D1" s="70" t="inlineStr">
        <is>
          <t>Источник</t>
        </is>
      </c>
      <c r="E1" s="70" t="inlineStr">
        <is>
          <t>Смена</t>
        </is>
      </c>
      <c r="F1" s="70" t="inlineStr">
        <is>
          <t>Метка</t>
        </is>
      </c>
    </row>
    <row r="2" ht="18" customHeight="1">
      <c r="A2" s="52" t="n">
        <v>1</v>
      </c>
      <c r="B2" s="54" t="n">
        <v>46266.21487268519</v>
      </c>
      <c r="C2" s="10" t="inlineStr">
        <is>
          <t>Нормальный выход по ключу</t>
        </is>
      </c>
      <c r="D2" s="10" t="inlineStr">
        <is>
          <t>Дверь в чистую зону</t>
        </is>
      </c>
      <c r="E2" s="10" t="inlineStr">
        <is>
          <t>31.08–01.09 ночная (пн–вт)</t>
        </is>
      </c>
      <c r="F2" s="10" t="inlineStr">
        <is>
          <t>Выход из чистой зоны (вход до него неизвестен)</t>
        </is>
      </c>
    </row>
    <row r="3" ht="18" customHeight="1">
      <c r="A3" s="52" t="n">
        <v>2</v>
      </c>
      <c r="B3" s="54" t="n">
        <v>46266.2391087963</v>
      </c>
      <c r="C3" s="10" t="inlineStr">
        <is>
          <t>Нормальный вход по ключу</t>
        </is>
      </c>
      <c r="D3" s="10" t="inlineStr">
        <is>
          <t>Дверь в чистую зону</t>
        </is>
      </c>
      <c r="E3" s="10" t="inlineStr">
        <is>
          <t>31.08–01.09 ночная (пн–вт)</t>
        </is>
      </c>
      <c r="F3" s="10" t="inlineStr">
        <is>
          <t>Приход на рабочее место</t>
        </is>
      </c>
    </row>
    <row r="4" ht="18" customHeight="1">
      <c r="A4" s="52" t="n">
        <v>3</v>
      </c>
      <c r="B4" s="54" t="n">
        <v>46266.37475694445</v>
      </c>
      <c r="C4" s="10" t="inlineStr">
        <is>
          <t>Нормальный выход по ключу</t>
        </is>
      </c>
      <c r="D4" s="10" t="inlineStr">
        <is>
          <t>Дверь в чистую зону</t>
        </is>
      </c>
      <c r="E4" s="10" t="inlineStr">
        <is>
          <t>31.08–01.09 ночная (пн–вт)</t>
        </is>
      </c>
      <c r="F4" s="64" t="inlineStr">
        <is>
          <t>Уход менее чем на минуту раньше конца смены</t>
        </is>
      </c>
    </row>
    <row r="5" ht="18" customHeight="1">
      <c r="A5" s="52" t="n">
        <v>4</v>
      </c>
      <c r="B5" s="54" t="n">
        <v>46266.38446759259</v>
      </c>
      <c r="C5" s="10" t="inlineStr">
        <is>
          <t>Фактический выход</t>
        </is>
      </c>
      <c r="D5" s="87" t="inlineStr">
        <is>
          <t>Турникет на проходной</t>
        </is>
      </c>
      <c r="E5" s="10" t="inlineStr">
        <is>
          <t>31.08–01.09 ночная (пн–вт)</t>
        </is>
      </c>
      <c r="F5" s="10" t="inlineStr">
        <is>
          <t>Выход с территории</t>
        </is>
      </c>
    </row>
    <row r="6" ht="18" customHeight="1">
      <c r="A6" s="52" t="n">
        <v>5</v>
      </c>
      <c r="B6" s="54" t="n">
        <v>46266.86491898148</v>
      </c>
      <c r="C6" s="10" t="inlineStr">
        <is>
          <t>Нормальный вход по ключу</t>
        </is>
      </c>
      <c r="D6" s="10" t="inlineStr">
        <is>
          <t>Дверь в чистую зону</t>
        </is>
      </c>
      <c r="E6" s="10" t="inlineStr">
        <is>
          <t>01.09–02.09 ночная (вт–ср)</t>
        </is>
      </c>
      <c r="F6" s="10" t="inlineStr">
        <is>
          <t>Приход на рабочее место до начала смены</t>
        </is>
      </c>
    </row>
    <row r="7" ht="18" customHeight="1">
      <c r="A7" s="52" t="n">
        <v>6</v>
      </c>
      <c r="B7" s="54" t="n">
        <v>46266.92142361111</v>
      </c>
      <c r="C7" s="10" t="inlineStr">
        <is>
          <t>Нормальный выход по ключу</t>
        </is>
      </c>
      <c r="D7" s="10" t="inlineStr">
        <is>
          <t>Дверь в чистую зону</t>
        </is>
      </c>
      <c r="E7" s="10" t="inlineStr">
        <is>
          <t>01.09–02.09 ночная (вт–ср)</t>
        </is>
      </c>
      <c r="F7" s="10" t="inlineStr">
        <is>
          <t>Вышел с рабочего места</t>
        </is>
      </c>
    </row>
    <row r="8" ht="18" customHeight="1">
      <c r="A8" s="52" t="n">
        <v>7</v>
      </c>
      <c r="B8" s="54" t="n">
        <v>46266.92221064815</v>
      </c>
      <c r="C8" s="10" t="inlineStr">
        <is>
          <t>Нормальный вход по ключу</t>
        </is>
      </c>
      <c r="D8" s="10" t="inlineStr">
        <is>
          <t>Дверь в чистую зону</t>
        </is>
      </c>
      <c r="E8" s="10" t="inlineStr">
        <is>
          <t>01.09–02.09 ночная (вт–ср)</t>
        </is>
      </c>
      <c r="F8" s="10" t="inlineStr">
        <is>
          <t>Вернулся на рабочее место</t>
        </is>
      </c>
    </row>
    <row r="9" ht="18" customHeight="1">
      <c r="A9" s="52" t="n">
        <v>8</v>
      </c>
      <c r="B9" s="54" t="n">
        <v>46266.92959490741</v>
      </c>
      <c r="C9" s="10" t="inlineStr">
        <is>
          <t>Нормальный выход по ключу</t>
        </is>
      </c>
      <c r="D9" s="10" t="inlineStr">
        <is>
          <t>Дверь в чистую зону</t>
        </is>
      </c>
      <c r="E9" s="10" t="inlineStr">
        <is>
          <t>01.09–02.09 ночная (вт–ср)</t>
        </is>
      </c>
      <c r="F9" s="10" t="inlineStr">
        <is>
          <t>Вышел с рабочего места</t>
        </is>
      </c>
    </row>
    <row r="10" ht="18" customHeight="1">
      <c r="A10" s="52" t="n">
        <v>9</v>
      </c>
      <c r="B10" s="54" t="n">
        <v>46266.9453125</v>
      </c>
      <c r="C10" s="10" t="inlineStr">
        <is>
          <t>Нормальный вход по ключу</t>
        </is>
      </c>
      <c r="D10" s="10" t="inlineStr">
        <is>
          <t>Дверь в чистую зону</t>
        </is>
      </c>
      <c r="E10" s="10" t="inlineStr">
        <is>
          <t>01.09–02.09 ночная (вт–ср)</t>
        </is>
      </c>
      <c r="F10" s="10" t="inlineStr">
        <is>
          <t>Вернулся на рабочее место</t>
        </is>
      </c>
    </row>
    <row r="11" ht="18" customHeight="1">
      <c r="A11" s="52" t="n">
        <v>10</v>
      </c>
      <c r="B11" s="54" t="n">
        <v>46267.29430555556</v>
      </c>
      <c r="C11" s="10" t="inlineStr">
        <is>
          <t>Нормальный выход по ключу</t>
        </is>
      </c>
      <c r="D11" s="10" t="inlineStr">
        <is>
          <t>Дверь в чистую зону</t>
        </is>
      </c>
      <c r="E11" s="10" t="inlineStr">
        <is>
          <t>01.09–02.09 ночная (вт–ср)</t>
        </is>
      </c>
      <c r="F11" s="10" t="inlineStr">
        <is>
          <t>Вышел с рабочего места</t>
        </is>
      </c>
    </row>
    <row r="12" ht="18" customHeight="1">
      <c r="A12" s="52" t="n">
        <v>11</v>
      </c>
      <c r="B12" s="54" t="n">
        <v>46267.32278935185</v>
      </c>
      <c r="C12" s="10" t="inlineStr">
        <is>
          <t>Нормальный вход по ключу</t>
        </is>
      </c>
      <c r="D12" s="10" t="inlineStr">
        <is>
          <t>Дверь в чистую зону</t>
        </is>
      </c>
      <c r="E12" s="10" t="inlineStr">
        <is>
          <t>01.09–02.09 ночная (вт–ср)</t>
        </is>
      </c>
      <c r="F12" s="10" t="inlineStr">
        <is>
          <t>Вернулся на рабочее место</t>
        </is>
      </c>
    </row>
    <row r="13" ht="18" customHeight="1">
      <c r="A13" s="36" t="n">
        <v>12</v>
      </c>
      <c r="B13" s="78" t="n">
        <v>46267.37123842593</v>
      </c>
      <c r="C13" s="20" t="inlineStr">
        <is>
          <t>Нормальный выход по ключу</t>
        </is>
      </c>
      <c r="D13" s="20" t="inlineStr">
        <is>
          <t>Дверь в чистую зону</t>
        </is>
      </c>
      <c r="E13" s="20" t="inlineStr">
        <is>
          <t>01.09–02.09 ночная (вт–ср)</t>
        </is>
      </c>
      <c r="F13" s="80" t="inlineStr">
        <is>
          <t>Ранний уход с рабочего места</t>
        </is>
      </c>
    </row>
    <row r="14" ht="18" customHeight="1">
      <c r="A14" s="52" t="n">
        <v>13</v>
      </c>
      <c r="B14" s="54" t="n">
        <v>46267.39655092593</v>
      </c>
      <c r="C14" s="10" t="inlineStr">
        <is>
          <t>Фактический выход</t>
        </is>
      </c>
      <c r="D14" s="87" t="inlineStr">
        <is>
          <t>Турникет на проходной</t>
        </is>
      </c>
      <c r="E14" s="10" t="inlineStr">
        <is>
          <t>01.09–02.09 ночная (вт–ср)</t>
        </is>
      </c>
      <c r="F14" s="10" t="inlineStr">
        <is>
          <t>Выход с территории</t>
        </is>
      </c>
    </row>
    <row r="15" ht="18" customHeight="1">
      <c r="A15" s="52" t="n">
        <v>14</v>
      </c>
      <c r="B15" s="54" t="n">
        <v>46270.35127314815</v>
      </c>
      <c r="C15" s="10" t="inlineStr">
        <is>
          <t>Фактический вход</t>
        </is>
      </c>
      <c r="D15" s="87" t="inlineStr">
        <is>
          <t>Турникет на проходной</t>
        </is>
      </c>
      <c r="E15" s="10" t="inlineStr">
        <is>
          <t>05.09 дневная (сб)</t>
        </is>
      </c>
      <c r="F15" s="10" t="inlineStr">
        <is>
          <t>Вход на территорию</t>
        </is>
      </c>
    </row>
    <row r="16" ht="18" customHeight="1">
      <c r="A16" s="52" t="n">
        <v>15</v>
      </c>
      <c r="B16" s="54" t="n">
        <v>46270.36547453704</v>
      </c>
      <c r="C16" s="10" t="inlineStr">
        <is>
          <t>Нормальный вход по ключу</t>
        </is>
      </c>
      <c r="D16" s="10" t="inlineStr">
        <is>
          <t>Дверь в чистую зону</t>
        </is>
      </c>
      <c r="E16" s="10" t="inlineStr">
        <is>
          <t>05.09 дневная (сб)</t>
        </is>
      </c>
      <c r="F16" s="10" t="inlineStr">
        <is>
          <t>Приход на рабочее место до начала смены</t>
        </is>
      </c>
    </row>
    <row r="17" ht="18" customHeight="1">
      <c r="A17" s="52" t="n">
        <v>16</v>
      </c>
      <c r="B17" s="54" t="n">
        <v>46270.51028935185</v>
      </c>
      <c r="C17" s="10" t="inlineStr">
        <is>
          <t>Нормальный выход по ключу</t>
        </is>
      </c>
      <c r="D17" s="10" t="inlineStr">
        <is>
          <t>Дверь в чистую зону</t>
        </is>
      </c>
      <c r="E17" s="10" t="inlineStr">
        <is>
          <t>05.09 дневная (сб)</t>
        </is>
      </c>
      <c r="F17" s="10" t="inlineStr">
        <is>
          <t>Вышел с рабочего места</t>
        </is>
      </c>
    </row>
    <row r="18" ht="18" customHeight="1">
      <c r="A18" s="52" t="n">
        <v>17</v>
      </c>
      <c r="B18" s="54" t="n">
        <v>46270.52151620371</v>
      </c>
      <c r="C18" s="10" t="inlineStr">
        <is>
          <t>Нормальный вход по ключу</t>
        </is>
      </c>
      <c r="D18" s="10" t="inlineStr">
        <is>
          <t>Дверь в чистую зону</t>
        </is>
      </c>
      <c r="E18" s="10" t="inlineStr">
        <is>
          <t>05.09 дневная (сб)</t>
        </is>
      </c>
      <c r="F18" s="10" t="inlineStr">
        <is>
          <t>Вернулся на рабочее место</t>
        </is>
      </c>
    </row>
    <row r="19" ht="18" customHeight="1">
      <c r="A19" s="52" t="n">
        <v>18</v>
      </c>
      <c r="B19" s="54" t="n">
        <v>46270.67166666667</v>
      </c>
      <c r="C19" s="10" t="inlineStr">
        <is>
          <t>Нормальный выход по ключу</t>
        </is>
      </c>
      <c r="D19" s="10" t="inlineStr">
        <is>
          <t>Дверь в чистую зону</t>
        </is>
      </c>
      <c r="E19" s="10" t="inlineStr">
        <is>
          <t>05.09 дневная (сб)</t>
        </is>
      </c>
      <c r="F19" s="10" t="inlineStr">
        <is>
          <t>Вышел с рабочего места</t>
        </is>
      </c>
    </row>
    <row r="20" ht="18" customHeight="1">
      <c r="A20" s="52" t="n">
        <v>19</v>
      </c>
      <c r="B20" s="54" t="n">
        <v>46270.69424768518</v>
      </c>
      <c r="C20" s="10" t="inlineStr">
        <is>
          <t>Нормальный вход по ключу</t>
        </is>
      </c>
      <c r="D20" s="10" t="inlineStr">
        <is>
          <t>Дверь в чистую зону</t>
        </is>
      </c>
      <c r="E20" s="10" t="inlineStr">
        <is>
          <t>05.09 дневная (сб)</t>
        </is>
      </c>
      <c r="F20" s="10" t="inlineStr">
        <is>
          <t>Вернулся на рабочее место</t>
        </is>
      </c>
    </row>
    <row r="21" ht="18" customHeight="1">
      <c r="A21" s="52" t="n">
        <v>20</v>
      </c>
      <c r="B21" s="54" t="n">
        <v>46270.79846064815</v>
      </c>
      <c r="C21" s="10" t="inlineStr">
        <is>
          <t>Нормальный выход по ключу</t>
        </is>
      </c>
      <c r="D21" s="10" t="inlineStr">
        <is>
          <t>Дверь в чистую зону</t>
        </is>
      </c>
      <c r="E21" s="10" t="inlineStr">
        <is>
          <t>05.09 дневная (сб)</t>
        </is>
      </c>
      <c r="F21" s="10" t="inlineStr">
        <is>
          <t>Вышел с рабочего места</t>
        </is>
      </c>
    </row>
    <row r="22" ht="18" customHeight="1">
      <c r="A22" s="52" t="n">
        <v>21</v>
      </c>
      <c r="B22" s="54" t="n">
        <v>46270.82094907408</v>
      </c>
      <c r="C22" s="10" t="inlineStr">
        <is>
          <t>Нормальный вход по ключу</t>
        </is>
      </c>
      <c r="D22" s="10" t="inlineStr">
        <is>
          <t>Дверь в чистую зону</t>
        </is>
      </c>
      <c r="E22" s="10" t="inlineStr">
        <is>
          <t>05.09 дневная (сб)</t>
        </is>
      </c>
      <c r="F22" s="10" t="inlineStr">
        <is>
          <t>Вернулся на рабочее место</t>
        </is>
      </c>
    </row>
    <row r="23" ht="18" customHeight="1">
      <c r="A23" s="36" t="n">
        <v>22</v>
      </c>
      <c r="B23" s="78" t="n">
        <v>46270.8734837963</v>
      </c>
      <c r="C23" s="20" t="inlineStr">
        <is>
          <t>Нормальный выход по ключу</t>
        </is>
      </c>
      <c r="D23" s="20" t="inlineStr">
        <is>
          <t>Дверь в чистую зону</t>
        </is>
      </c>
      <c r="E23" s="20" t="inlineStr">
        <is>
          <t>05.09 дневная (сб)</t>
        </is>
      </c>
      <c r="F23" s="80" t="inlineStr">
        <is>
          <t>Ранний уход с рабочего места</t>
        </is>
      </c>
    </row>
    <row r="24" ht="18" customHeight="1">
      <c r="A24" s="52" t="n">
        <v>23</v>
      </c>
      <c r="B24" s="54" t="n">
        <v>46270.88203703704</v>
      </c>
      <c r="C24" s="10" t="inlineStr">
        <is>
          <t>Фактический выход</t>
        </is>
      </c>
      <c r="D24" s="87" t="inlineStr">
        <is>
          <t>Турникет на проходной</t>
        </is>
      </c>
      <c r="E24" s="10" t="inlineStr">
        <is>
          <t>05.09 дневная (сб)</t>
        </is>
      </c>
      <c r="F24" s="10" t="inlineStr">
        <is>
          <t>Выход с территории</t>
        </is>
      </c>
    </row>
    <row r="25" ht="18" customHeight="1">
      <c r="A25" s="52" t="n">
        <v>24</v>
      </c>
      <c r="B25" s="54" t="n">
        <v>46271.35083333333</v>
      </c>
      <c r="C25" s="10" t="inlineStr">
        <is>
          <t>Фактический вход</t>
        </is>
      </c>
      <c r="D25" s="87" t="inlineStr">
        <is>
          <t>Турникет на проходной</t>
        </is>
      </c>
      <c r="E25" s="10" t="inlineStr">
        <is>
          <t>06.09 дневная (вс)</t>
        </is>
      </c>
      <c r="F25" s="10" t="inlineStr">
        <is>
          <t>Вход на территорию</t>
        </is>
      </c>
    </row>
    <row r="26" ht="18" customHeight="1">
      <c r="A26" s="52" t="n">
        <v>25</v>
      </c>
      <c r="B26" s="54" t="n">
        <v>46271.37086805556</v>
      </c>
      <c r="C26" s="10" t="inlineStr">
        <is>
          <t>Нормальный вход по ключу</t>
        </is>
      </c>
      <c r="D26" s="10" t="inlineStr">
        <is>
          <t>Дверь в чистую зону</t>
        </is>
      </c>
      <c r="E26" s="10" t="inlineStr">
        <is>
          <t>06.09 дневная (вс)</t>
        </is>
      </c>
      <c r="F26" s="10" t="inlineStr">
        <is>
          <t>Приход на рабочее место до начала смены</t>
        </is>
      </c>
    </row>
    <row r="27" ht="18" customHeight="1">
      <c r="A27" s="52" t="n">
        <v>26</v>
      </c>
      <c r="B27" s="54" t="n">
        <v>46271.40710648148</v>
      </c>
      <c r="C27" s="10" t="inlineStr">
        <is>
          <t>Нормальный выход по ключу</t>
        </is>
      </c>
      <c r="D27" s="10" t="inlineStr">
        <is>
          <t>Дверь в чистую зону</t>
        </is>
      </c>
      <c r="E27" s="10" t="inlineStr">
        <is>
          <t>06.09 дневная (вс)</t>
        </is>
      </c>
      <c r="F27" s="10" t="inlineStr">
        <is>
          <t>Вышел с рабочего места</t>
        </is>
      </c>
    </row>
    <row r="28" ht="18" customHeight="1">
      <c r="A28" s="52" t="n">
        <v>27</v>
      </c>
      <c r="B28" s="54" t="n">
        <v>46271.40768518519</v>
      </c>
      <c r="C28" s="10" t="inlineStr">
        <is>
          <t>Нормальный вход по ключу</t>
        </is>
      </c>
      <c r="D28" s="10" t="inlineStr">
        <is>
          <t>Дверь в чистую зону</t>
        </is>
      </c>
      <c r="E28" s="10" t="inlineStr">
        <is>
          <t>06.09 дневная (вс)</t>
        </is>
      </c>
      <c r="F28" s="10" t="inlineStr">
        <is>
          <t>Вернулся на рабочее место</t>
        </is>
      </c>
    </row>
    <row r="29" ht="18" customHeight="1">
      <c r="A29" s="52" t="n">
        <v>28</v>
      </c>
      <c r="B29" s="54" t="n">
        <v>46271.53900462963</v>
      </c>
      <c r="C29" s="10" t="inlineStr">
        <is>
          <t>Нормальный выход по ключу</t>
        </is>
      </c>
      <c r="D29" s="10" t="inlineStr">
        <is>
          <t>Дверь в чистую зону</t>
        </is>
      </c>
      <c r="E29" s="10" t="inlineStr">
        <is>
          <t>06.09 дневная (вс)</t>
        </is>
      </c>
      <c r="F29" s="10" t="inlineStr">
        <is>
          <t>Вышел с рабочего места</t>
        </is>
      </c>
    </row>
    <row r="30" ht="18" customHeight="1">
      <c r="A30" s="52" t="n">
        <v>29</v>
      </c>
      <c r="B30" s="54" t="n">
        <v>46271.57741898148</v>
      </c>
      <c r="C30" s="10" t="inlineStr">
        <is>
          <t>Нормальный вход по ключу</t>
        </is>
      </c>
      <c r="D30" s="10" t="inlineStr">
        <is>
          <t>Дверь в чистую зону</t>
        </is>
      </c>
      <c r="E30" s="10" t="inlineStr">
        <is>
          <t>06.09 дневная (вс)</t>
        </is>
      </c>
      <c r="F30" s="10" t="inlineStr">
        <is>
          <t>Вернулся на рабочее место</t>
        </is>
      </c>
    </row>
    <row r="31" ht="18" customHeight="1">
      <c r="A31" s="52" t="n">
        <v>30</v>
      </c>
      <c r="B31" s="54" t="n">
        <v>46271.7896875</v>
      </c>
      <c r="C31" s="10" t="inlineStr">
        <is>
          <t>Нормальный выход по ключу</t>
        </is>
      </c>
      <c r="D31" s="10" t="inlineStr">
        <is>
          <t>Дверь в чистую зону</t>
        </is>
      </c>
      <c r="E31" s="10" t="inlineStr">
        <is>
          <t>06.09 дневная (вс)</t>
        </is>
      </c>
      <c r="F31" s="10" t="inlineStr">
        <is>
          <t>Вышел с рабочего места</t>
        </is>
      </c>
    </row>
    <row r="32" ht="18" customHeight="1">
      <c r="A32" s="52" t="n">
        <v>31</v>
      </c>
      <c r="B32" s="54" t="n">
        <v>46271.81405092592</v>
      </c>
      <c r="C32" s="10" t="inlineStr">
        <is>
          <t>Нормальный вход по ключу</t>
        </is>
      </c>
      <c r="D32" s="10" t="inlineStr">
        <is>
          <t>Дверь в чистую зону</t>
        </is>
      </c>
      <c r="E32" s="10" t="inlineStr">
        <is>
          <t>06.09 дневная (вс)</t>
        </is>
      </c>
      <c r="F32" s="10" t="inlineStr">
        <is>
          <t>Вернулся на рабочее место</t>
        </is>
      </c>
    </row>
    <row r="33" ht="18" customHeight="1">
      <c r="A33" s="52" t="n">
        <v>32</v>
      </c>
      <c r="B33" s="54" t="n">
        <v>46271.87740740741</v>
      </c>
      <c r="C33" s="10" t="inlineStr">
        <is>
          <t>Нормальный выход по ключу</t>
        </is>
      </c>
      <c r="D33" s="10" t="inlineStr">
        <is>
          <t>Дверь в чистую зону</t>
        </is>
      </c>
      <c r="E33" s="10" t="inlineStr">
        <is>
          <t>06.09 дневная (вс)</t>
        </is>
      </c>
      <c r="F33" s="10" t="inlineStr">
        <is>
          <t>Уход с рабочего места после конца смены</t>
        </is>
      </c>
    </row>
    <row r="34" ht="18" customHeight="1">
      <c r="A34" s="52" t="n">
        <v>33</v>
      </c>
      <c r="B34" s="54" t="n">
        <v>46271.88648148148</v>
      </c>
      <c r="C34" s="10" t="inlineStr">
        <is>
          <t>Фактический выход</t>
        </is>
      </c>
      <c r="D34" s="87" t="inlineStr">
        <is>
          <t>Турникет на проходной</t>
        </is>
      </c>
      <c r="E34" s="10" t="inlineStr">
        <is>
          <t>06.09 дневная (вс)</t>
        </is>
      </c>
      <c r="F34" s="10" t="inlineStr">
        <is>
          <t>Выход с территории</t>
        </is>
      </c>
    </row>
    <row r="35" ht="18" customHeight="1">
      <c r="A35" s="52" t="n">
        <v>34</v>
      </c>
      <c r="B35" s="54" t="n">
        <v>46272.85430555556</v>
      </c>
      <c r="C35" s="10" t="inlineStr">
        <is>
          <t>Фактический вход</t>
        </is>
      </c>
      <c r="D35" s="87" t="inlineStr">
        <is>
          <t>Турникет на проходной</t>
        </is>
      </c>
      <c r="E35" s="10" t="inlineStr">
        <is>
          <t>07.09–08.09 ночная (пн–вт)</t>
        </is>
      </c>
      <c r="F35" s="10" t="inlineStr">
        <is>
          <t>Вход на территорию</t>
        </is>
      </c>
    </row>
    <row r="36" ht="18" customHeight="1">
      <c r="A36" s="52" t="n">
        <v>35</v>
      </c>
      <c r="B36" s="54" t="n">
        <v>46272.8571875</v>
      </c>
      <c r="C36" s="10" t="inlineStr">
        <is>
          <t>Нормальный вход по ключу</t>
        </is>
      </c>
      <c r="D36" s="71" t="inlineStr">
        <is>
          <t>Дверь в Гардероб</t>
        </is>
      </c>
      <c r="E36" s="10" t="inlineStr">
        <is>
          <t>07.09–08.09 ночная (пн–вт)</t>
        </is>
      </c>
      <c r="F36" s="10" t="inlineStr">
        <is>
          <t>Вход в гардероб (не рабочее место)</t>
        </is>
      </c>
    </row>
    <row r="37" ht="18" customHeight="1">
      <c r="A37" s="52" t="n">
        <v>36</v>
      </c>
      <c r="B37" s="54" t="n">
        <v>46272.87091435185</v>
      </c>
      <c r="C37" s="10" t="inlineStr">
        <is>
          <t>Нормальный вход по ключу</t>
        </is>
      </c>
      <c r="D37" s="10" t="inlineStr">
        <is>
          <t>Дверь в чистую зону</t>
        </is>
      </c>
      <c r="E37" s="10" t="inlineStr">
        <is>
          <t>07.09–08.09 ночная (пн–вт)</t>
        </is>
      </c>
      <c r="F37" s="10" t="inlineStr">
        <is>
          <t>Приход на рабочее место до начала смены</t>
        </is>
      </c>
    </row>
    <row r="38" ht="18" customHeight="1">
      <c r="A38" s="52" t="n">
        <v>37</v>
      </c>
      <c r="B38" s="54" t="n">
        <v>46273.05680555556</v>
      </c>
      <c r="C38" s="10" t="inlineStr">
        <is>
          <t>Нормальный выход по ключу</t>
        </is>
      </c>
      <c r="D38" s="10" t="inlineStr">
        <is>
          <t>Дверь в чистую зону</t>
        </is>
      </c>
      <c r="E38" s="10" t="inlineStr">
        <is>
          <t>07.09–08.09 ночная (пн–вт)</t>
        </is>
      </c>
      <c r="F38" s="10" t="inlineStr">
        <is>
          <t>Вышел с рабочего места</t>
        </is>
      </c>
    </row>
    <row r="39" ht="18" customHeight="1">
      <c r="A39" s="52" t="n">
        <v>38</v>
      </c>
      <c r="B39" s="54" t="n">
        <v>46273.06527777778</v>
      </c>
      <c r="C39" s="10" t="inlineStr">
        <is>
          <t>Нормальный вход по ключу</t>
        </is>
      </c>
      <c r="D39" s="10" t="inlineStr">
        <is>
          <t>Дверь в чистую зону</t>
        </is>
      </c>
      <c r="E39" s="10" t="inlineStr">
        <is>
          <t>07.09–08.09 ночная (пн–вт)</t>
        </is>
      </c>
      <c r="F39" s="10" t="inlineStr">
        <is>
          <t>Вернулся на рабочее место</t>
        </is>
      </c>
    </row>
    <row r="40" ht="18" customHeight="1">
      <c r="A40" s="52" t="n">
        <v>39</v>
      </c>
      <c r="B40" s="54" t="n">
        <v>46273.21684027778</v>
      </c>
      <c r="C40" s="10" t="inlineStr">
        <is>
          <t>Нормальный выход по ключу</t>
        </is>
      </c>
      <c r="D40" s="10" t="inlineStr">
        <is>
          <t>Дверь в чистую зону</t>
        </is>
      </c>
      <c r="E40" s="10" t="inlineStr">
        <is>
          <t>07.09–08.09 ночная (пн–вт)</t>
        </is>
      </c>
      <c r="F40" s="10" t="inlineStr">
        <is>
          <t>Вышел с рабочего места</t>
        </is>
      </c>
    </row>
    <row r="41" ht="18" customHeight="1">
      <c r="A41" s="52" t="n">
        <v>40</v>
      </c>
      <c r="B41" s="54" t="n">
        <v>46273.21857638889</v>
      </c>
      <c r="C41" s="10" t="inlineStr">
        <is>
          <t>Нормальный вход по ключу</t>
        </is>
      </c>
      <c r="D41" s="10" t="inlineStr">
        <is>
          <t>Дверь в чистую зону</t>
        </is>
      </c>
      <c r="E41" s="10" t="inlineStr">
        <is>
          <t>07.09–08.09 ночная (пн–вт)</t>
        </is>
      </c>
      <c r="F41" s="10" t="inlineStr">
        <is>
          <t>Вернулся на рабочее место</t>
        </is>
      </c>
    </row>
    <row r="42" ht="18" customHeight="1">
      <c r="A42" s="52" t="n">
        <v>41</v>
      </c>
      <c r="B42" s="54" t="n">
        <v>46273.26131944444</v>
      </c>
      <c r="C42" s="10" t="inlineStr">
        <is>
          <t>Нормальный выход по ключу</t>
        </is>
      </c>
      <c r="D42" s="10" t="inlineStr">
        <is>
          <t>Дверь в чистую зону</t>
        </is>
      </c>
      <c r="E42" s="10" t="inlineStr">
        <is>
          <t>07.09–08.09 ночная (пн–вт)</t>
        </is>
      </c>
      <c r="F42" s="10" t="inlineStr">
        <is>
          <t>Вышел с рабочего места</t>
        </is>
      </c>
    </row>
    <row r="43" ht="18" customHeight="1">
      <c r="A43" s="52" t="n">
        <v>42</v>
      </c>
      <c r="B43" s="54" t="n">
        <v>46273.28291666666</v>
      </c>
      <c r="C43" s="10" t="inlineStr">
        <is>
          <t>Нормальный вход по ключу</t>
        </is>
      </c>
      <c r="D43" s="10" t="inlineStr">
        <is>
          <t>Дверь в чистую зону</t>
        </is>
      </c>
      <c r="E43" s="10" t="inlineStr">
        <is>
          <t>07.09–08.09 ночная (пн–вт)</t>
        </is>
      </c>
      <c r="F43" s="10" t="inlineStr">
        <is>
          <t>Вернулся на рабочее место</t>
        </is>
      </c>
    </row>
    <row r="44" ht="18" customHeight="1">
      <c r="A44" s="36" t="n">
        <v>43</v>
      </c>
      <c r="B44" s="78" t="n">
        <v>46273.37217592593</v>
      </c>
      <c r="C44" s="20" t="inlineStr">
        <is>
          <t>Нормальный выход по ключу</t>
        </is>
      </c>
      <c r="D44" s="20" t="inlineStr">
        <is>
          <t>Дверь в чистую зону</t>
        </is>
      </c>
      <c r="E44" s="20" t="inlineStr">
        <is>
          <t>07.09–08.09 ночная (пн–вт)</t>
        </is>
      </c>
      <c r="F44" s="80" t="inlineStr">
        <is>
          <t>Ранний уход с рабочего места</t>
        </is>
      </c>
    </row>
    <row r="45" ht="18" customHeight="1">
      <c r="A45" s="52" t="n">
        <v>44</v>
      </c>
      <c r="B45" s="54" t="n">
        <v>46273.38152777778</v>
      </c>
      <c r="C45" s="10" t="inlineStr">
        <is>
          <t>Фактический выход</t>
        </is>
      </c>
      <c r="D45" s="87" t="inlineStr">
        <is>
          <t>Турникет на проходной</t>
        </is>
      </c>
      <c r="E45" s="10" t="inlineStr">
        <is>
          <t>07.09–08.09 ночная (пн–вт)</t>
        </is>
      </c>
      <c r="F45" s="10" t="inlineStr">
        <is>
          <t>Выход с территории</t>
        </is>
      </c>
    </row>
    <row r="46" ht="18" customHeight="1">
      <c r="A46" s="52" t="n">
        <v>45</v>
      </c>
      <c r="B46" s="54" t="n">
        <v>46273.85663194444</v>
      </c>
      <c r="C46" s="10" t="inlineStr">
        <is>
          <t>Фактический вход</t>
        </is>
      </c>
      <c r="D46" s="87" t="inlineStr">
        <is>
          <t>Турникет на проходной</t>
        </is>
      </c>
      <c r="E46" s="10" t="inlineStr">
        <is>
          <t>08.09–09.09 ночная (вт–ср)</t>
        </is>
      </c>
      <c r="F46" s="10" t="inlineStr">
        <is>
          <t>Вход на территорию</t>
        </is>
      </c>
    </row>
    <row r="47" ht="18" customHeight="1">
      <c r="A47" s="52" t="n">
        <v>46</v>
      </c>
      <c r="B47" s="54" t="n">
        <v>46273.85972222222</v>
      </c>
      <c r="C47" s="10" t="inlineStr">
        <is>
          <t>Нормальный вход по ключу</t>
        </is>
      </c>
      <c r="D47" s="71" t="inlineStr">
        <is>
          <t>Дверь в Гардероб</t>
        </is>
      </c>
      <c r="E47" s="10" t="inlineStr">
        <is>
          <t>08.09–09.09 ночная (вт–ср)</t>
        </is>
      </c>
      <c r="F47" s="10" t="inlineStr">
        <is>
          <t>Вход в гардероб (не рабочее место)</t>
        </is>
      </c>
    </row>
    <row r="48" ht="18" customHeight="1">
      <c r="A48" s="37" t="n">
        <v>47</v>
      </c>
      <c r="B48" s="81" t="n">
        <v>46273.87586805555</v>
      </c>
      <c r="C48" s="15" t="inlineStr">
        <is>
          <t>Нормальный вход по ключу</t>
        </is>
      </c>
      <c r="D48" s="15" t="inlineStr">
        <is>
          <t>Дверь в чистую зону</t>
        </is>
      </c>
      <c r="E48" s="15" t="inlineStr">
        <is>
          <t>08.09–09.09 ночная (вт–ср)</t>
        </is>
      </c>
      <c r="F48" s="83" t="inlineStr">
        <is>
          <t>Опоздание на рабочее место</t>
        </is>
      </c>
    </row>
    <row r="49" ht="18" customHeight="1">
      <c r="A49" s="52" t="n">
        <v>48</v>
      </c>
      <c r="B49" s="54" t="n">
        <v>46274.12827546296</v>
      </c>
      <c r="C49" s="10" t="inlineStr">
        <is>
          <t>Нормальный выход по ключу</t>
        </is>
      </c>
      <c r="D49" s="10" t="inlineStr">
        <is>
          <t>Дверь в чистую зону</t>
        </is>
      </c>
      <c r="E49" s="10" t="inlineStr">
        <is>
          <t>08.09–09.09 ночная (вт–ср)</t>
        </is>
      </c>
      <c r="F49" s="10" t="inlineStr">
        <is>
          <t>Вышел с рабочего места</t>
        </is>
      </c>
    </row>
    <row r="50" ht="18" customHeight="1">
      <c r="A50" s="52" t="n">
        <v>49</v>
      </c>
      <c r="B50" s="54" t="n">
        <v>46274.15606481482</v>
      </c>
      <c r="C50" s="10" t="inlineStr">
        <is>
          <t>Нормальный вход по ключу</t>
        </is>
      </c>
      <c r="D50" s="10" t="inlineStr">
        <is>
          <t>Дверь в чистую зону</t>
        </is>
      </c>
      <c r="E50" s="10" t="inlineStr">
        <is>
          <t>08.09–09.09 ночная (вт–ср)</t>
        </is>
      </c>
      <c r="F50" s="10" t="inlineStr">
        <is>
          <t>Вернулся на рабочее место</t>
        </is>
      </c>
    </row>
    <row r="51" ht="18" customHeight="1">
      <c r="A51" s="52" t="n">
        <v>50</v>
      </c>
      <c r="B51" s="54" t="n">
        <v>46274.30565972222</v>
      </c>
      <c r="C51" s="10" t="inlineStr">
        <is>
          <t>Нормальный выход по ключу</t>
        </is>
      </c>
      <c r="D51" s="10" t="inlineStr">
        <is>
          <t>Дверь в чистую зону</t>
        </is>
      </c>
      <c r="E51" s="10" t="inlineStr">
        <is>
          <t>08.09–09.09 ночная (вт–ср)</t>
        </is>
      </c>
      <c r="F51" s="10" t="inlineStr">
        <is>
          <t>Вышел с рабочего места</t>
        </is>
      </c>
    </row>
    <row r="52" ht="18" customHeight="1">
      <c r="A52" s="52" t="n">
        <v>51</v>
      </c>
      <c r="B52" s="54" t="n">
        <v>46274.32649305555</v>
      </c>
      <c r="C52" s="10" t="inlineStr">
        <is>
          <t>Нормальный вход по ключу</t>
        </is>
      </c>
      <c r="D52" s="10" t="inlineStr">
        <is>
          <t>Дверь в чистую зону</t>
        </is>
      </c>
      <c r="E52" s="10" t="inlineStr">
        <is>
          <t>08.09–09.09 ночная (вт–ср)</t>
        </is>
      </c>
      <c r="F52" s="10" t="inlineStr">
        <is>
          <t>Вернулся на рабочее место</t>
        </is>
      </c>
    </row>
    <row r="53" ht="18" customHeight="1">
      <c r="A53" s="52" t="n">
        <v>52</v>
      </c>
      <c r="B53" s="54" t="n">
        <v>46274.37491898148</v>
      </c>
      <c r="C53" s="10" t="inlineStr">
        <is>
          <t>Нормальный выход по ключу</t>
        </is>
      </c>
      <c r="D53" s="10" t="inlineStr">
        <is>
          <t>Дверь в чистую зону</t>
        </is>
      </c>
      <c r="E53" s="10" t="inlineStr">
        <is>
          <t>08.09–09.09 ночная (вт–ср)</t>
        </is>
      </c>
      <c r="F53" s="64" t="inlineStr">
        <is>
          <t>Уход менее чем на минуту раньше конца смены</t>
        </is>
      </c>
    </row>
    <row r="54" ht="18" customHeight="1">
      <c r="A54" s="52" t="n">
        <v>53</v>
      </c>
      <c r="B54" s="54" t="n">
        <v>46274.38196759259</v>
      </c>
      <c r="C54" s="10" t="inlineStr">
        <is>
          <t>Фактический выход</t>
        </is>
      </c>
      <c r="D54" s="87" t="inlineStr">
        <is>
          <t>Турникет на проходной</t>
        </is>
      </c>
      <c r="E54" s="10" t="inlineStr">
        <is>
          <t>08.09–09.09 ночная (вт–ср)</t>
        </is>
      </c>
      <c r="F54" s="10" t="inlineStr">
        <is>
          <t>Выход с территории</t>
        </is>
      </c>
    </row>
    <row r="55" ht="18" customHeight="1">
      <c r="A55" s="52" t="n">
        <v>54</v>
      </c>
      <c r="B55" s="54" t="n">
        <v>46274.85133101852</v>
      </c>
      <c r="C55" s="10" t="inlineStr">
        <is>
          <t>Фактический вход</t>
        </is>
      </c>
      <c r="D55" s="87" t="inlineStr">
        <is>
          <t>Турникет на проходной</t>
        </is>
      </c>
      <c r="E55" s="10" t="inlineStr">
        <is>
          <t>09.09–10.09 ночная (ср–чт)</t>
        </is>
      </c>
      <c r="F55" s="10" t="inlineStr">
        <is>
          <t>Вход на территорию</t>
        </is>
      </c>
    </row>
    <row r="56" ht="18" customHeight="1">
      <c r="A56" s="52" t="n">
        <v>55</v>
      </c>
      <c r="B56" s="54" t="n">
        <v>46274.86817129629</v>
      </c>
      <c r="C56" s="10" t="inlineStr">
        <is>
          <t>Нормальный вход по ключу</t>
        </is>
      </c>
      <c r="D56" s="10" t="inlineStr">
        <is>
          <t>Дверь в чистую зону</t>
        </is>
      </c>
      <c r="E56" s="10" t="inlineStr">
        <is>
          <t>09.09–10.09 ночная (ср–чт)</t>
        </is>
      </c>
      <c r="F56" s="10" t="inlineStr">
        <is>
          <t>Приход на рабочее место до начала смены</t>
        </is>
      </c>
    </row>
    <row r="57" ht="18" customHeight="1">
      <c r="A57" s="52" t="n">
        <v>56</v>
      </c>
      <c r="B57" s="54" t="n">
        <v>46275.07413194444</v>
      </c>
      <c r="C57" s="10" t="inlineStr">
        <is>
          <t>Нормальный выход по ключу</t>
        </is>
      </c>
      <c r="D57" s="10" t="inlineStr">
        <is>
          <t>Дверь в чистую зону</t>
        </is>
      </c>
      <c r="E57" s="10" t="inlineStr">
        <is>
          <t>09.09–10.09 ночная (ср–чт)</t>
        </is>
      </c>
      <c r="F57" s="10" t="inlineStr">
        <is>
          <t>Вышел с рабочего места</t>
        </is>
      </c>
    </row>
    <row r="58" ht="18" customHeight="1">
      <c r="A58" s="52" t="n">
        <v>57</v>
      </c>
      <c r="B58" s="54" t="n">
        <v>46275.1071875</v>
      </c>
      <c r="C58" s="10" t="inlineStr">
        <is>
          <t>Нормальный вход по ключу</t>
        </is>
      </c>
      <c r="D58" s="10" t="inlineStr">
        <is>
          <t>Дверь в чистую зону</t>
        </is>
      </c>
      <c r="E58" s="10" t="inlineStr">
        <is>
          <t>09.09–10.09 ночная (ср–чт)</t>
        </is>
      </c>
      <c r="F58" s="10" t="inlineStr">
        <is>
          <t>Вернулся на рабочее место</t>
        </is>
      </c>
    </row>
    <row r="59" ht="18" customHeight="1">
      <c r="A59" s="52" t="n">
        <v>58</v>
      </c>
      <c r="B59" s="54" t="n">
        <v>46275.30873842593</v>
      </c>
      <c r="C59" s="10" t="inlineStr">
        <is>
          <t>Нормальный выход по ключу</t>
        </is>
      </c>
      <c r="D59" s="10" t="inlineStr">
        <is>
          <t>Дверь в чистую зону</t>
        </is>
      </c>
      <c r="E59" s="10" t="inlineStr">
        <is>
          <t>09.09–10.09 ночная (ср–чт)</t>
        </is>
      </c>
      <c r="F59" s="10" t="inlineStr">
        <is>
          <t>Вышел с рабочего места</t>
        </is>
      </c>
    </row>
    <row r="60" ht="18" customHeight="1">
      <c r="A60" s="52" t="n">
        <v>59</v>
      </c>
      <c r="B60" s="54" t="n">
        <v>46275.33039351852</v>
      </c>
      <c r="C60" s="10" t="inlineStr">
        <is>
          <t>Нормальный вход по ключу</t>
        </is>
      </c>
      <c r="D60" s="10" t="inlineStr">
        <is>
          <t>Дверь в чистую зону</t>
        </is>
      </c>
      <c r="E60" s="10" t="inlineStr">
        <is>
          <t>09.09–10.09 ночная (ср–чт)</t>
        </is>
      </c>
      <c r="F60" s="10" t="inlineStr">
        <is>
          <t>Вернулся на рабочее место</t>
        </is>
      </c>
    </row>
    <row r="61" ht="18" customHeight="1">
      <c r="A61" s="52" t="n">
        <v>60</v>
      </c>
      <c r="B61" s="54" t="n">
        <v>46275.37524305555</v>
      </c>
      <c r="C61" s="10" t="inlineStr">
        <is>
          <t>Нормальный выход по ключу</t>
        </is>
      </c>
      <c r="D61" s="10" t="inlineStr">
        <is>
          <t>Дверь в чистую зону</t>
        </is>
      </c>
      <c r="E61" s="10" t="inlineStr">
        <is>
          <t>09.09–10.09 ночная (ср–чт)</t>
        </is>
      </c>
      <c r="F61" s="10" t="inlineStr">
        <is>
          <t>Уход с рабочего места после конца смены</t>
        </is>
      </c>
    </row>
    <row r="62" ht="18" customHeight="1">
      <c r="A62" s="52" t="n">
        <v>61</v>
      </c>
      <c r="B62" s="54" t="n">
        <v>46275.38465277778</v>
      </c>
      <c r="C62" s="10" t="inlineStr">
        <is>
          <t>Фактический выход</t>
        </is>
      </c>
      <c r="D62" s="87" t="inlineStr">
        <is>
          <t>Турникет на проходной</t>
        </is>
      </c>
      <c r="E62" s="10" t="inlineStr">
        <is>
          <t>09.09–10.09 ночная (ср–чт)</t>
        </is>
      </c>
      <c r="F62" s="10" t="inlineStr">
        <is>
          <t>Выход с территории</t>
        </is>
      </c>
    </row>
    <row r="63" ht="18" customHeight="1">
      <c r="A63" s="52" t="n">
        <v>62</v>
      </c>
      <c r="B63" s="54" t="n">
        <v>46278.34878472222</v>
      </c>
      <c r="C63" s="10" t="inlineStr">
        <is>
          <t>Фактический вход</t>
        </is>
      </c>
      <c r="D63" s="87" t="inlineStr">
        <is>
          <t>Турникет на проходной</t>
        </is>
      </c>
      <c r="E63" s="10" t="inlineStr">
        <is>
          <t>13.09 дневная (вс)</t>
        </is>
      </c>
      <c r="F63" s="10" t="inlineStr">
        <is>
          <t>Вход на территорию</t>
        </is>
      </c>
    </row>
    <row r="64" ht="18" customHeight="1">
      <c r="A64" s="52" t="n">
        <v>63</v>
      </c>
      <c r="B64" s="54" t="n">
        <v>46278.36165509259</v>
      </c>
      <c r="C64" s="10" t="inlineStr">
        <is>
          <t>Нормальный вход по ключу</t>
        </is>
      </c>
      <c r="D64" s="10" t="inlineStr">
        <is>
          <t>Дверь в чистую зону</t>
        </is>
      </c>
      <c r="E64" s="10" t="inlineStr">
        <is>
          <t>13.09 дневная (вс)</t>
        </is>
      </c>
      <c r="F64" s="10" t="inlineStr">
        <is>
          <t>Приход на рабочее место до начала смены</t>
        </is>
      </c>
    </row>
    <row r="65" ht="18" customHeight="1">
      <c r="A65" s="52" t="n">
        <v>64</v>
      </c>
      <c r="B65" s="54" t="n">
        <v>46278.50424768519</v>
      </c>
      <c r="C65" s="10" t="inlineStr">
        <is>
          <t>Нормальный выход по ключу</t>
        </is>
      </c>
      <c r="D65" s="10" t="inlineStr">
        <is>
          <t>Дверь в чистую зону</t>
        </is>
      </c>
      <c r="E65" s="10" t="inlineStr">
        <is>
          <t>13.09 дневная (вс)</t>
        </is>
      </c>
      <c r="F65" s="10" t="inlineStr">
        <is>
          <t>Вышел с рабочего места</t>
        </is>
      </c>
    </row>
    <row r="66" ht="18" customHeight="1">
      <c r="A66" s="52" t="n">
        <v>65</v>
      </c>
      <c r="B66" s="54" t="n">
        <v>46278.54325231481</v>
      </c>
      <c r="C66" s="10" t="inlineStr">
        <is>
          <t>Нормальный вход по ключу</t>
        </is>
      </c>
      <c r="D66" s="10" t="inlineStr">
        <is>
          <t>Дверь в чистую зону</t>
        </is>
      </c>
      <c r="E66" s="10" t="inlineStr">
        <is>
          <t>13.09 дневная (вс)</t>
        </is>
      </c>
      <c r="F66" s="10" t="inlineStr">
        <is>
          <t>Вернулся на рабочее место</t>
        </is>
      </c>
    </row>
    <row r="67" ht="18" customHeight="1">
      <c r="A67" s="52" t="n">
        <v>66</v>
      </c>
      <c r="B67" s="54" t="n">
        <v>46278.62167824074</v>
      </c>
      <c r="C67" s="10" t="inlineStr">
        <is>
          <t>Нормальный выход по ключу</t>
        </is>
      </c>
      <c r="D67" s="10" t="inlineStr">
        <is>
          <t>Дверь в чистую зону</t>
        </is>
      </c>
      <c r="E67" s="10" t="inlineStr">
        <is>
          <t>13.09 дневная (вс)</t>
        </is>
      </c>
      <c r="F67" s="10" t="inlineStr">
        <is>
          <t>Вышел с рабочего места</t>
        </is>
      </c>
    </row>
    <row r="68" ht="18" customHeight="1">
      <c r="A68" s="52" t="n">
        <v>67</v>
      </c>
      <c r="B68" s="54" t="n">
        <v>46278.62430555555</v>
      </c>
      <c r="C68" s="10" t="inlineStr">
        <is>
          <t>Нормальный вход по ключу</t>
        </is>
      </c>
      <c r="D68" s="10" t="inlineStr">
        <is>
          <t>Дверь в чистую зону</t>
        </is>
      </c>
      <c r="E68" s="10" t="inlineStr">
        <is>
          <t>13.09 дневная (вс)</t>
        </is>
      </c>
      <c r="F68" s="10" t="inlineStr">
        <is>
          <t>Вернулся на рабочее место</t>
        </is>
      </c>
    </row>
    <row r="69" ht="18" customHeight="1">
      <c r="A69" s="52" t="n">
        <v>68</v>
      </c>
      <c r="B69" s="54" t="n">
        <v>46278.76810185185</v>
      </c>
      <c r="C69" s="10" t="inlineStr">
        <is>
          <t>Нормальный выход по ключу</t>
        </is>
      </c>
      <c r="D69" s="10" t="inlineStr">
        <is>
          <t>Дверь в чистую зону</t>
        </is>
      </c>
      <c r="E69" s="10" t="inlineStr">
        <is>
          <t>13.09 дневная (вс)</t>
        </is>
      </c>
      <c r="F69" s="10" t="inlineStr">
        <is>
          <t>Вышел с рабочего места</t>
        </is>
      </c>
    </row>
    <row r="70" ht="18" customHeight="1">
      <c r="A70" s="52" t="n">
        <v>69</v>
      </c>
      <c r="B70" s="54" t="n">
        <v>46278.77584490741</v>
      </c>
      <c r="C70" s="10" t="inlineStr">
        <is>
          <t>Нормальный вход по ключу</t>
        </is>
      </c>
      <c r="D70" s="10" t="inlineStr">
        <is>
          <t>Дверь в чистую зону</t>
        </is>
      </c>
      <c r="E70" s="10" t="inlineStr">
        <is>
          <t>13.09 дневная (вс)</t>
        </is>
      </c>
      <c r="F70" s="10" t="inlineStr">
        <is>
          <t>Вернулся на рабочее место</t>
        </is>
      </c>
    </row>
    <row r="71" ht="18" customHeight="1">
      <c r="A71" s="52" t="n">
        <v>70</v>
      </c>
      <c r="B71" s="54" t="n">
        <v>46278.77608796296</v>
      </c>
      <c r="C71" s="10" t="inlineStr">
        <is>
          <t>Нормальный выход по ключу</t>
        </is>
      </c>
      <c r="D71" s="10" t="inlineStr">
        <is>
          <t>Дверь в чистую зону</t>
        </is>
      </c>
      <c r="E71" s="10" t="inlineStr">
        <is>
          <t>13.09 дневная (вс)</t>
        </is>
      </c>
      <c r="F71" s="10" t="inlineStr">
        <is>
          <t>Вышел с рабочего места</t>
        </is>
      </c>
    </row>
    <row r="72" ht="18" customHeight="1">
      <c r="A72" s="52" t="n">
        <v>71</v>
      </c>
      <c r="B72" s="54" t="n">
        <v>46278.78925925926</v>
      </c>
      <c r="C72" s="10" t="inlineStr">
        <is>
          <t>Нормальный вход по ключу</t>
        </is>
      </c>
      <c r="D72" s="10" t="inlineStr">
        <is>
          <t>Дверь в чистую зону</t>
        </is>
      </c>
      <c r="E72" s="10" t="inlineStr">
        <is>
          <t>13.09 дневная (вс)</t>
        </is>
      </c>
      <c r="F72" s="10" t="inlineStr">
        <is>
          <t>Вернулся на рабочее место</t>
        </is>
      </c>
    </row>
    <row r="73" ht="18" customHeight="1">
      <c r="A73" s="36" t="n">
        <v>72</v>
      </c>
      <c r="B73" s="78" t="n">
        <v>46278.86550925926</v>
      </c>
      <c r="C73" s="20" t="inlineStr">
        <is>
          <t>Нормальный выход по ключу</t>
        </is>
      </c>
      <c r="D73" s="20" t="inlineStr">
        <is>
          <t>Дверь в чистую зону</t>
        </is>
      </c>
      <c r="E73" s="20" t="inlineStr">
        <is>
          <t>13.09 дневная (вс)</t>
        </is>
      </c>
      <c r="F73" s="80" t="inlineStr">
        <is>
          <t>Ранний уход с рабочего места</t>
        </is>
      </c>
    </row>
    <row r="74" ht="18" customHeight="1">
      <c r="A74" s="52" t="n">
        <v>73</v>
      </c>
      <c r="B74" s="54" t="n">
        <v>46278.87603009259</v>
      </c>
      <c r="C74" s="10" t="inlineStr">
        <is>
          <t>Фактический выход</t>
        </is>
      </c>
      <c r="D74" s="87" t="inlineStr">
        <is>
          <t>Турникет на проходной</t>
        </is>
      </c>
      <c r="E74" s="10" t="inlineStr">
        <is>
          <t>13.09 дневная (вс)</t>
        </is>
      </c>
      <c r="F74" s="10" t="inlineStr">
        <is>
          <t>Выход с территории</t>
        </is>
      </c>
    </row>
    <row r="75" ht="18" customHeight="1">
      <c r="A75" s="52" t="n">
        <v>74</v>
      </c>
      <c r="B75" s="54" t="n">
        <v>46279.35353009259</v>
      </c>
      <c r="C75" s="10" t="inlineStr">
        <is>
          <t>Фактический вход</t>
        </is>
      </c>
      <c r="D75" s="87" t="inlineStr">
        <is>
          <t>Турникет на проходной</t>
        </is>
      </c>
      <c r="E75" s="10" t="inlineStr">
        <is>
          <t>14.09 дневная (пн)</t>
        </is>
      </c>
      <c r="F75" s="10" t="inlineStr">
        <is>
          <t>Вход на территорию</t>
        </is>
      </c>
    </row>
    <row r="76" ht="18" customHeight="1">
      <c r="A76" s="52" t="n">
        <v>75</v>
      </c>
      <c r="B76" s="54" t="n">
        <v>46279.36908564815</v>
      </c>
      <c r="C76" s="10" t="inlineStr">
        <is>
          <t>Нормальный вход по ключу</t>
        </is>
      </c>
      <c r="D76" s="10" t="inlineStr">
        <is>
          <t>Дверь в чистую зону</t>
        </is>
      </c>
      <c r="E76" s="10" t="inlineStr">
        <is>
          <t>14.09 дневная (пн)</t>
        </is>
      </c>
      <c r="F76" s="10" t="inlineStr">
        <is>
          <t>Приход на рабочее место до начала смены</t>
        </is>
      </c>
    </row>
    <row r="77" ht="18" customHeight="1">
      <c r="A77" s="52" t="n">
        <v>76</v>
      </c>
      <c r="B77" s="54" t="n">
        <v>46279.54020833333</v>
      </c>
      <c r="C77" s="10" t="inlineStr">
        <is>
          <t>Нормальный выход по ключу</t>
        </is>
      </c>
      <c r="D77" s="10" t="inlineStr">
        <is>
          <t>Дверь в чистую зону</t>
        </is>
      </c>
      <c r="E77" s="10" t="inlineStr">
        <is>
          <t>14.09 дневная (пн)</t>
        </is>
      </c>
      <c r="F77" s="10" t="inlineStr">
        <is>
          <t>Вышел с рабочего места</t>
        </is>
      </c>
    </row>
    <row r="78" ht="18" customHeight="1">
      <c r="A78" s="52" t="n">
        <v>77</v>
      </c>
      <c r="B78" s="54" t="n">
        <v>46279.55452546296</v>
      </c>
      <c r="C78" s="10" t="inlineStr">
        <is>
          <t>Нормальный вход по ключу</t>
        </is>
      </c>
      <c r="D78" s="10" t="inlineStr">
        <is>
          <t>Дверь в чистую зону</t>
        </is>
      </c>
      <c r="E78" s="10" t="inlineStr">
        <is>
          <t>14.09 дневная (пн)</t>
        </is>
      </c>
      <c r="F78" s="10" t="inlineStr">
        <is>
          <t>Вернулся на рабочее место</t>
        </is>
      </c>
    </row>
    <row r="79" ht="18" customHeight="1">
      <c r="A79" s="52" t="n">
        <v>78</v>
      </c>
      <c r="B79" s="54" t="n">
        <v>46279.64196759259</v>
      </c>
      <c r="C79" s="10" t="inlineStr">
        <is>
          <t>Нормальный выход по ключу</t>
        </is>
      </c>
      <c r="D79" s="10" t="inlineStr">
        <is>
          <t>Дверь в чистую зону</t>
        </is>
      </c>
      <c r="E79" s="10" t="inlineStr">
        <is>
          <t>14.09 дневная (пн)</t>
        </is>
      </c>
      <c r="F79" s="10" t="inlineStr">
        <is>
          <t>Вышел с рабочего места</t>
        </is>
      </c>
    </row>
    <row r="80" ht="18" customHeight="1">
      <c r="A80" s="52" t="n">
        <v>79</v>
      </c>
      <c r="B80" s="54" t="n">
        <v>46279.66122685185</v>
      </c>
      <c r="C80" s="10" t="inlineStr">
        <is>
          <t>Нормальный вход по ключу</t>
        </is>
      </c>
      <c r="D80" s="10" t="inlineStr">
        <is>
          <t>Дверь в чистую зону</t>
        </is>
      </c>
      <c r="E80" s="10" t="inlineStr">
        <is>
          <t>14.09 дневная (пн)</t>
        </is>
      </c>
      <c r="F80" s="10" t="inlineStr">
        <is>
          <t>Вернулся на рабочее место</t>
        </is>
      </c>
    </row>
    <row r="81" ht="18" customHeight="1">
      <c r="A81" s="52" t="n">
        <v>80</v>
      </c>
      <c r="B81" s="54" t="n">
        <v>46279.8202662037</v>
      </c>
      <c r="C81" s="10" t="inlineStr">
        <is>
          <t>Нормальный выход по ключу</t>
        </is>
      </c>
      <c r="D81" s="10" t="inlineStr">
        <is>
          <t>Дверь в чистую зону</t>
        </is>
      </c>
      <c r="E81" s="10" t="inlineStr">
        <is>
          <t>14.09 дневная (пн)</t>
        </is>
      </c>
      <c r="F81" s="10" t="inlineStr">
        <is>
          <t>Вышел с рабочего места</t>
        </is>
      </c>
    </row>
    <row r="82" ht="18" customHeight="1">
      <c r="A82" s="52" t="n">
        <v>81</v>
      </c>
      <c r="B82" s="54" t="n">
        <v>46279.83189814815</v>
      </c>
      <c r="C82" s="10" t="inlineStr">
        <is>
          <t>Нормальный вход по ключу</t>
        </is>
      </c>
      <c r="D82" s="10" t="inlineStr">
        <is>
          <t>Дверь в чистую зону</t>
        </is>
      </c>
      <c r="E82" s="10" t="inlineStr">
        <is>
          <t>14.09 дневная (пн)</t>
        </is>
      </c>
      <c r="F82" s="10" t="inlineStr">
        <is>
          <t>Вернулся на рабочее место</t>
        </is>
      </c>
    </row>
    <row r="83" ht="18" customHeight="1">
      <c r="A83" s="52" t="n">
        <v>82</v>
      </c>
      <c r="B83" s="54" t="n">
        <v>46279.87496527778</v>
      </c>
      <c r="C83" s="10" t="inlineStr">
        <is>
          <t>Нормальный выход по ключу</t>
        </is>
      </c>
      <c r="D83" s="10" t="inlineStr">
        <is>
          <t>Дверь в чистую зону</t>
        </is>
      </c>
      <c r="E83" s="10" t="inlineStr">
        <is>
          <t>14.09 дневная (пн)</t>
        </is>
      </c>
      <c r="F83" s="64" t="inlineStr">
        <is>
          <t>Уход менее чем на минуту раньше конца смены</t>
        </is>
      </c>
    </row>
    <row r="84" ht="18" customHeight="1">
      <c r="A84" s="52" t="n">
        <v>83</v>
      </c>
      <c r="B84" s="54" t="n">
        <v>46279.88513888889</v>
      </c>
      <c r="C84" s="10" t="inlineStr">
        <is>
          <t>Фактический выход</t>
        </is>
      </c>
      <c r="D84" s="87" t="inlineStr">
        <is>
          <t>Турникет на проходной</t>
        </is>
      </c>
      <c r="E84" s="10" t="inlineStr">
        <is>
          <t>14.09 дневная (пн)</t>
        </is>
      </c>
      <c r="F84" s="10" t="inlineStr">
        <is>
          <t>Выход с территории</t>
        </is>
      </c>
    </row>
    <row r="85" ht="18" customHeight="1">
      <c r="A85" s="52" t="n">
        <v>84</v>
      </c>
      <c r="B85" s="54" t="n">
        <v>46287.35844907408</v>
      </c>
      <c r="C85" s="10" t="inlineStr">
        <is>
          <t>Фактический вход</t>
        </is>
      </c>
      <c r="D85" s="87" t="inlineStr">
        <is>
          <t>Турникет на проходной</t>
        </is>
      </c>
      <c r="E85" s="10" t="inlineStr">
        <is>
          <t>22.09 дневная (вт)</t>
        </is>
      </c>
      <c r="F85" s="10" t="inlineStr">
        <is>
          <t>Вход на территорию</t>
        </is>
      </c>
    </row>
    <row r="86" ht="18" customHeight="1">
      <c r="A86" s="52" t="n">
        <v>85</v>
      </c>
      <c r="B86" s="54" t="n">
        <v>46287.36189814815</v>
      </c>
      <c r="C86" s="10" t="inlineStr">
        <is>
          <t>Нормальный вход по ключу</t>
        </is>
      </c>
      <c r="D86" s="71" t="inlineStr">
        <is>
          <t>Дверь в Гардероб</t>
        </is>
      </c>
      <c r="E86" s="10" t="inlineStr">
        <is>
          <t>22.09 дневная (вт)</t>
        </is>
      </c>
      <c r="F86" s="10" t="inlineStr">
        <is>
          <t>Вход в гардероб (не рабочее место)</t>
        </is>
      </c>
    </row>
    <row r="87" ht="18" customHeight="1">
      <c r="A87" s="52" t="n">
        <v>86</v>
      </c>
      <c r="B87" s="54" t="n">
        <v>46287.37458333333</v>
      </c>
      <c r="C87" s="10" t="inlineStr">
        <is>
          <t>Нормальный вход по ключу</t>
        </is>
      </c>
      <c r="D87" s="10" t="inlineStr">
        <is>
          <t>Дверь в чистую зону</t>
        </is>
      </c>
      <c r="E87" s="10" t="inlineStr">
        <is>
          <t>22.09 дневная (вт)</t>
        </is>
      </c>
      <c r="F87" s="10" t="inlineStr">
        <is>
          <t>Приход на рабочее место до начала смены</t>
        </is>
      </c>
    </row>
    <row r="88" ht="18" customHeight="1">
      <c r="A88" s="52" t="n">
        <v>87</v>
      </c>
      <c r="B88" s="54" t="n">
        <v>46287.55701388889</v>
      </c>
      <c r="C88" s="10" t="inlineStr">
        <is>
          <t>Нормальный выход по ключу</t>
        </is>
      </c>
      <c r="D88" s="10" t="inlineStr">
        <is>
          <t>Дверь в чистую зону</t>
        </is>
      </c>
      <c r="E88" s="10" t="inlineStr">
        <is>
          <t>22.09 дневная (вт)</t>
        </is>
      </c>
      <c r="F88" s="10" t="inlineStr">
        <is>
          <t>Вышел с рабочего места</t>
        </is>
      </c>
    </row>
    <row r="89" ht="18" customHeight="1">
      <c r="A89" s="52" t="n">
        <v>88</v>
      </c>
      <c r="B89" s="54" t="n">
        <v>46287.59081018518</v>
      </c>
      <c r="C89" s="10" t="inlineStr">
        <is>
          <t>Нормальный вход по ключу</t>
        </is>
      </c>
      <c r="D89" s="10" t="inlineStr">
        <is>
          <t>Дверь в чистую зону</t>
        </is>
      </c>
      <c r="E89" s="10" t="inlineStr">
        <is>
          <t>22.09 дневная (вт)</t>
        </is>
      </c>
      <c r="F89" s="10" t="inlineStr">
        <is>
          <t>Вернулся на рабочее место</t>
        </is>
      </c>
    </row>
    <row r="90" ht="18" customHeight="1">
      <c r="A90" s="52" t="n">
        <v>89</v>
      </c>
      <c r="B90" s="54" t="n">
        <v>46287.67934027778</v>
      </c>
      <c r="C90" s="10" t="inlineStr">
        <is>
          <t>Нормальный выход по ключу</t>
        </is>
      </c>
      <c r="D90" s="10" t="inlineStr">
        <is>
          <t>Дверь в чистую зону</t>
        </is>
      </c>
      <c r="E90" s="10" t="inlineStr">
        <is>
          <t>22.09 дневная (вт)</t>
        </is>
      </c>
      <c r="F90" s="10" t="inlineStr">
        <is>
          <t>Вышел с рабочего места</t>
        </is>
      </c>
    </row>
    <row r="91" ht="18" customHeight="1">
      <c r="A91" s="52" t="n">
        <v>90</v>
      </c>
      <c r="B91" s="54" t="n">
        <v>46287.71540509259</v>
      </c>
      <c r="C91" s="10" t="inlineStr">
        <is>
          <t>Нормальный вход по ключу</t>
        </is>
      </c>
      <c r="D91" s="10" t="inlineStr">
        <is>
          <t>Дверь в чистую зону</t>
        </is>
      </c>
      <c r="E91" s="10" t="inlineStr">
        <is>
          <t>22.09 дневная (вт)</t>
        </is>
      </c>
      <c r="F91" s="10" t="inlineStr">
        <is>
          <t>Вернулся на рабочее место</t>
        </is>
      </c>
    </row>
    <row r="92" ht="18" customHeight="1">
      <c r="A92" s="52" t="n">
        <v>91</v>
      </c>
      <c r="B92" s="54" t="n">
        <v>46287.74594907407</v>
      </c>
      <c r="C92" s="10" t="inlineStr">
        <is>
          <t>Нормальный выход по ключу</t>
        </is>
      </c>
      <c r="D92" s="10" t="inlineStr">
        <is>
          <t>Дверь в чистую зону</t>
        </is>
      </c>
      <c r="E92" s="10" t="inlineStr">
        <is>
          <t>22.09 дневная (вт)</t>
        </is>
      </c>
      <c r="F92" s="10" t="inlineStr">
        <is>
          <t>Вышел с рабочего места</t>
        </is>
      </c>
    </row>
    <row r="93" ht="18" customHeight="1">
      <c r="A93" s="52" t="n">
        <v>92</v>
      </c>
      <c r="B93" s="54" t="n">
        <v>46287.74668981481</v>
      </c>
      <c r="C93" s="10" t="inlineStr">
        <is>
          <t>Нормальный вход по ключу</t>
        </is>
      </c>
      <c r="D93" s="10" t="inlineStr">
        <is>
          <t>Дверь в чистую зону</t>
        </is>
      </c>
      <c r="E93" s="10" t="inlineStr">
        <is>
          <t>22.09 дневная (вт)</t>
        </is>
      </c>
      <c r="F93" s="10" t="inlineStr">
        <is>
          <t>Вернулся на рабочее место</t>
        </is>
      </c>
    </row>
    <row r="94" ht="18" customHeight="1">
      <c r="A94" s="52" t="n">
        <v>93</v>
      </c>
      <c r="B94" s="54" t="n">
        <v>46287.75002314815</v>
      </c>
      <c r="C94" s="10" t="inlineStr">
        <is>
          <t>Нормальный выход по ключу</t>
        </is>
      </c>
      <c r="D94" s="10" t="inlineStr">
        <is>
          <t>Дверь в чистую зону</t>
        </is>
      </c>
      <c r="E94" s="10" t="inlineStr">
        <is>
          <t>22.09 дневная (вт)</t>
        </is>
      </c>
      <c r="F94" s="10" t="inlineStr">
        <is>
          <t>Вышел с рабочего места</t>
        </is>
      </c>
    </row>
    <row r="95" ht="18" customHeight="1">
      <c r="A95" s="52" t="n">
        <v>94</v>
      </c>
      <c r="B95" s="54" t="n">
        <v>46287.77332175926</v>
      </c>
      <c r="C95" s="10" t="inlineStr">
        <is>
          <t>Нормальный вход по ключу</t>
        </is>
      </c>
      <c r="D95" s="10" t="inlineStr">
        <is>
          <t>Дверь в чистую зону</t>
        </is>
      </c>
      <c r="E95" s="10" t="inlineStr">
        <is>
          <t>22.09 дневная (вт)</t>
        </is>
      </c>
      <c r="F95" s="10" t="inlineStr">
        <is>
          <t>Вернулся на рабочее место</t>
        </is>
      </c>
    </row>
    <row r="96" ht="18" customHeight="1">
      <c r="A96" s="52" t="n">
        <v>95</v>
      </c>
      <c r="B96" s="54" t="n">
        <v>46287.87746527778</v>
      </c>
      <c r="C96" s="10" t="inlineStr">
        <is>
          <t>Нормальный выход по ключу</t>
        </is>
      </c>
      <c r="D96" s="10" t="inlineStr">
        <is>
          <t>Дверь в чистую зону</t>
        </is>
      </c>
      <c r="E96" s="10" t="inlineStr">
        <is>
          <t>22.09 дневная (вт)</t>
        </is>
      </c>
      <c r="F96" s="10" t="inlineStr">
        <is>
          <t>Уход с рабочего места после конца смены</t>
        </is>
      </c>
    </row>
    <row r="97" ht="18" customHeight="1">
      <c r="A97" s="52" t="n">
        <v>96</v>
      </c>
      <c r="B97" s="54" t="n">
        <v>46287.88368055555</v>
      </c>
      <c r="C97" s="10" t="inlineStr">
        <is>
          <t>Нормальный вход по ключу</t>
        </is>
      </c>
      <c r="D97" s="71" t="inlineStr">
        <is>
          <t>Дверь в Гардероб</t>
        </is>
      </c>
      <c r="E97" s="10" t="inlineStr">
        <is>
          <t>22.09 дневная (вт)</t>
        </is>
      </c>
      <c r="F97" s="10" t="inlineStr">
        <is>
          <t>Вход в гардероб (не рабочее место)</t>
        </is>
      </c>
    </row>
    <row r="98" ht="18" customHeight="1">
      <c r="A98" s="52" t="n">
        <v>97</v>
      </c>
      <c r="B98" s="54" t="n">
        <v>46287.88662037037</v>
      </c>
      <c r="C98" s="10" t="inlineStr">
        <is>
          <t>Фактический выход</t>
        </is>
      </c>
      <c r="D98" s="87" t="inlineStr">
        <is>
          <t>Турникет на проходной</t>
        </is>
      </c>
      <c r="E98" s="10" t="inlineStr">
        <is>
          <t>22.09 дневная (вт)</t>
        </is>
      </c>
      <c r="F98" s="10" t="inlineStr">
        <is>
          <t>Выход с территории</t>
        </is>
      </c>
    </row>
    <row r="99" ht="18" customHeight="1">
      <c r="A99" s="52" t="n">
        <v>98</v>
      </c>
      <c r="B99" s="54" t="n">
        <v>46289.85181712963</v>
      </c>
      <c r="C99" s="10" t="inlineStr">
        <is>
          <t>Фактический вход</t>
        </is>
      </c>
      <c r="D99" s="87" t="inlineStr">
        <is>
          <t>Турникет на проходной</t>
        </is>
      </c>
      <c r="E99" s="10" t="inlineStr">
        <is>
          <t>24.09–25.09 ночная (чт–пт)</t>
        </is>
      </c>
      <c r="F99" s="10" t="inlineStr">
        <is>
          <t>Вход на территорию</t>
        </is>
      </c>
    </row>
    <row r="100" ht="18" customHeight="1">
      <c r="A100" s="52" t="n">
        <v>99</v>
      </c>
      <c r="B100" s="54" t="n">
        <v>46289.86350694444</v>
      </c>
      <c r="C100" s="10" t="inlineStr">
        <is>
          <t>Нормальный вход по ключу</t>
        </is>
      </c>
      <c r="D100" s="10" t="inlineStr">
        <is>
          <t>Дверь в чистую зону</t>
        </is>
      </c>
      <c r="E100" s="10" t="inlineStr">
        <is>
          <t>24.09–25.09 ночная (чт–пт)</t>
        </is>
      </c>
      <c r="F100" s="10" t="inlineStr">
        <is>
          <t>Приход на рабочее место до начала смены</t>
        </is>
      </c>
    </row>
    <row r="101" ht="18" customHeight="1">
      <c r="A101" s="52" t="n">
        <v>100</v>
      </c>
      <c r="B101" s="54" t="n">
        <v>46289.89809027778</v>
      </c>
      <c r="C101" s="10" t="inlineStr">
        <is>
          <t>Нормальный выход по ключу</t>
        </is>
      </c>
      <c r="D101" s="10" t="inlineStr">
        <is>
          <t>Дверь в чистую зону</t>
        </is>
      </c>
      <c r="E101" s="10" t="inlineStr">
        <is>
          <t>24.09–25.09 ночная (чт–пт)</t>
        </is>
      </c>
      <c r="F101" s="10" t="inlineStr">
        <is>
          <t>Вышел с рабочего места</t>
        </is>
      </c>
    </row>
    <row r="102" ht="18" customHeight="1">
      <c r="A102" s="52" t="n">
        <v>101</v>
      </c>
      <c r="B102" s="54" t="n">
        <v>46289.8987037037</v>
      </c>
      <c r="C102" s="10" t="inlineStr">
        <is>
          <t>Нормальный вход по ключу</t>
        </is>
      </c>
      <c r="D102" s="10" t="inlineStr">
        <is>
          <t>Дверь в чистую зону</t>
        </is>
      </c>
      <c r="E102" s="10" t="inlineStr">
        <is>
          <t>24.09–25.09 ночная (чт–пт)</t>
        </is>
      </c>
      <c r="F102" s="10" t="inlineStr">
        <is>
          <t>Вернулся на рабочее место</t>
        </is>
      </c>
    </row>
    <row r="103" ht="18" customHeight="1">
      <c r="A103" s="52" t="n">
        <v>102</v>
      </c>
      <c r="B103" s="54" t="n">
        <v>46289.95715277778</v>
      </c>
      <c r="C103" s="10" t="inlineStr">
        <is>
          <t>Нормальный выход по ключу</t>
        </is>
      </c>
      <c r="D103" s="10" t="inlineStr">
        <is>
          <t>Дверь в чистую зону</t>
        </is>
      </c>
      <c r="E103" s="10" t="inlineStr">
        <is>
          <t>24.09–25.09 ночная (чт–пт)</t>
        </is>
      </c>
      <c r="F103" s="10" t="inlineStr">
        <is>
          <t>Вышел с рабочего места</t>
        </is>
      </c>
    </row>
    <row r="104" ht="18" customHeight="1">
      <c r="A104" s="52" t="n">
        <v>103</v>
      </c>
      <c r="B104" s="54" t="n">
        <v>46289.96395833333</v>
      </c>
      <c r="C104" s="10" t="inlineStr">
        <is>
          <t>Нормальный вход по ключу</t>
        </is>
      </c>
      <c r="D104" s="10" t="inlineStr">
        <is>
          <t>Дверь в чистую зону</t>
        </is>
      </c>
      <c r="E104" s="10" t="inlineStr">
        <is>
          <t>24.09–25.09 ночная (чт–пт)</t>
        </is>
      </c>
      <c r="F104" s="10" t="inlineStr">
        <is>
          <t>Вернулся на рабочее место</t>
        </is>
      </c>
    </row>
    <row r="105" ht="18" customHeight="1">
      <c r="A105" s="52" t="n">
        <v>104</v>
      </c>
      <c r="B105" s="54" t="n">
        <v>46290.07189814815</v>
      </c>
      <c r="C105" s="10" t="inlineStr">
        <is>
          <t>Нормальный выход по ключу</t>
        </is>
      </c>
      <c r="D105" s="10" t="inlineStr">
        <is>
          <t>Дверь в чистую зону</t>
        </is>
      </c>
      <c r="E105" s="10" t="inlineStr">
        <is>
          <t>24.09–25.09 ночная (чт–пт)</t>
        </is>
      </c>
      <c r="F105" s="10" t="inlineStr">
        <is>
          <t>Вышел с рабочего места</t>
        </is>
      </c>
    </row>
    <row r="106" ht="18" customHeight="1">
      <c r="A106" s="52" t="n">
        <v>105</v>
      </c>
      <c r="B106" s="54" t="n">
        <v>46290.07302083333</v>
      </c>
      <c r="C106" s="10" t="inlineStr">
        <is>
          <t>Нормальный вход по ключу</t>
        </is>
      </c>
      <c r="D106" s="10" t="inlineStr">
        <is>
          <t>Дверь в чистую зону</t>
        </is>
      </c>
      <c r="E106" s="10" t="inlineStr">
        <is>
          <t>24.09–25.09 ночная (чт–пт)</t>
        </is>
      </c>
      <c r="F106" s="10" t="inlineStr">
        <is>
          <t>Вернулся на рабочее место</t>
        </is>
      </c>
    </row>
    <row r="107" ht="18" customHeight="1">
      <c r="A107" s="52" t="n">
        <v>106</v>
      </c>
      <c r="B107" s="54" t="n">
        <v>46290.21623842593</v>
      </c>
      <c r="C107" s="10" t="inlineStr">
        <is>
          <t>Нормальный выход по ключу</t>
        </is>
      </c>
      <c r="D107" s="10" t="inlineStr">
        <is>
          <t>Дверь в чистую зону</t>
        </is>
      </c>
      <c r="E107" s="10" t="inlineStr">
        <is>
          <t>24.09–25.09 ночная (чт–пт)</t>
        </is>
      </c>
      <c r="F107" s="10" t="inlineStr">
        <is>
          <t>Вышел с рабочего места</t>
        </is>
      </c>
    </row>
    <row r="108" ht="18" customHeight="1">
      <c r="A108" s="52" t="n">
        <v>107</v>
      </c>
      <c r="B108" s="54" t="n">
        <v>46290.24744212963</v>
      </c>
      <c r="C108" s="10" t="inlineStr">
        <is>
          <t>Нормальный вход по ключу</t>
        </is>
      </c>
      <c r="D108" s="10" t="inlineStr">
        <is>
          <t>Дверь в чистую зону</t>
        </is>
      </c>
      <c r="E108" s="10" t="inlineStr">
        <is>
          <t>24.09–25.09 ночная (чт–пт)</t>
        </is>
      </c>
      <c r="F108" s="10" t="inlineStr">
        <is>
          <t>Вернулся на рабочее место</t>
        </is>
      </c>
    </row>
    <row r="109" ht="18" customHeight="1">
      <c r="A109" s="36" t="n">
        <v>108</v>
      </c>
      <c r="B109" s="78" t="n">
        <v>46290.37423611111</v>
      </c>
      <c r="C109" s="20" t="inlineStr">
        <is>
          <t>Нормальный выход по ключу</t>
        </is>
      </c>
      <c r="D109" s="20" t="inlineStr">
        <is>
          <t>Дверь в чистую зону</t>
        </is>
      </c>
      <c r="E109" s="20" t="inlineStr">
        <is>
          <t>24.09–25.09 ночная (чт–пт)</t>
        </is>
      </c>
      <c r="F109" s="80" t="inlineStr">
        <is>
          <t>Ранний уход с рабочего места</t>
        </is>
      </c>
    </row>
    <row r="110" ht="18" customHeight="1">
      <c r="A110" s="52" t="n">
        <v>109</v>
      </c>
      <c r="B110" s="54" t="n">
        <v>46290.38505787037</v>
      </c>
      <c r="C110" s="10" t="inlineStr">
        <is>
          <t>Фактический выход</t>
        </is>
      </c>
      <c r="D110" s="87" t="inlineStr">
        <is>
          <t>Турникет на проходной</t>
        </is>
      </c>
      <c r="E110" s="10" t="inlineStr">
        <is>
          <t>24.09–25.09 ночная (чт–пт)</t>
        </is>
      </c>
      <c r="F110" s="10" t="inlineStr">
        <is>
          <t>Выход с территории</t>
        </is>
      </c>
    </row>
    <row r="111" ht="18" customHeight="1">
      <c r="A111" s="52" t="n">
        <v>110</v>
      </c>
      <c r="B111" s="54" t="n">
        <v>46290.85255787037</v>
      </c>
      <c r="C111" s="10" t="inlineStr">
        <is>
          <t>Фактический вход</t>
        </is>
      </c>
      <c r="D111" s="87" t="inlineStr">
        <is>
          <t>Турникет на проходной</t>
        </is>
      </c>
      <c r="E111" s="10" t="inlineStr">
        <is>
          <t>25.09–26.09 ночная (пт–сб)</t>
        </is>
      </c>
      <c r="F111" s="10" t="inlineStr">
        <is>
          <t>Вход на территорию</t>
        </is>
      </c>
    </row>
    <row r="112" ht="18" customHeight="1">
      <c r="A112" s="52" t="n">
        <v>111</v>
      </c>
      <c r="B112" s="54" t="n">
        <v>46290.85543981481</v>
      </c>
      <c r="C112" s="10" t="inlineStr">
        <is>
          <t>Нормальный вход по ключу</t>
        </is>
      </c>
      <c r="D112" s="71" t="inlineStr">
        <is>
          <t>Дверь в Гардероб</t>
        </is>
      </c>
      <c r="E112" s="10" t="inlineStr">
        <is>
          <t>25.09–26.09 ночная (пт–сб)</t>
        </is>
      </c>
      <c r="F112" s="10" t="inlineStr">
        <is>
          <t>Вход в гардероб (не рабочее место)</t>
        </is>
      </c>
    </row>
    <row r="113" ht="18" customHeight="1">
      <c r="A113" s="52" t="n">
        <v>112</v>
      </c>
      <c r="B113" s="54" t="n">
        <v>46290.86337962963</v>
      </c>
      <c r="C113" s="10" t="inlineStr">
        <is>
          <t>Нормальный вход по ключу</t>
        </is>
      </c>
      <c r="D113" s="10" t="inlineStr">
        <is>
          <t>Дверь в чистую зону</t>
        </is>
      </c>
      <c r="E113" s="10" t="inlineStr">
        <is>
          <t>25.09–26.09 ночная (пт–сб)</t>
        </is>
      </c>
      <c r="F113" s="10" t="inlineStr">
        <is>
          <t>Приход на рабочее место до начала смены</t>
        </is>
      </c>
    </row>
    <row r="114" ht="18" customHeight="1">
      <c r="A114" s="52" t="n">
        <v>113</v>
      </c>
      <c r="B114" s="54" t="n">
        <v>46290.94084490741</v>
      </c>
      <c r="C114" s="10" t="inlineStr">
        <is>
          <t>Нормальный выход по ключу</t>
        </is>
      </c>
      <c r="D114" s="10" t="inlineStr">
        <is>
          <t>Дверь в чистую зону</t>
        </is>
      </c>
      <c r="E114" s="10" t="inlineStr">
        <is>
          <t>25.09–26.09 ночная (пт–сб)</t>
        </is>
      </c>
      <c r="F114" s="10" t="inlineStr">
        <is>
          <t>Вышел с рабочего места</t>
        </is>
      </c>
    </row>
    <row r="115" ht="18" customHeight="1">
      <c r="A115" s="52" t="n">
        <v>114</v>
      </c>
      <c r="B115" s="54" t="n">
        <v>46290.95085648148</v>
      </c>
      <c r="C115" s="10" t="inlineStr">
        <is>
          <t>Нормальный вход по ключу</t>
        </is>
      </c>
      <c r="D115" s="10" t="inlineStr">
        <is>
          <t>Дверь в чистую зону</t>
        </is>
      </c>
      <c r="E115" s="10" t="inlineStr">
        <is>
          <t>25.09–26.09 ночная (пт–сб)</t>
        </is>
      </c>
      <c r="F115" s="10" t="inlineStr">
        <is>
          <t>Вернулся на рабочее место</t>
        </is>
      </c>
    </row>
    <row r="116" ht="18" customHeight="1">
      <c r="A116" s="52" t="n">
        <v>115</v>
      </c>
      <c r="B116" s="54" t="n">
        <v>46291.06895833334</v>
      </c>
      <c r="C116" s="10" t="inlineStr">
        <is>
          <t>Нормальный выход по ключу</t>
        </is>
      </c>
      <c r="D116" s="10" t="inlineStr">
        <is>
          <t>Дверь в чистую зону</t>
        </is>
      </c>
      <c r="E116" s="10" t="inlineStr">
        <is>
          <t>25.09–26.09 ночная (пт–сб)</t>
        </is>
      </c>
      <c r="F116" s="10" t="inlineStr">
        <is>
          <t>Вышел с рабочего места</t>
        </is>
      </c>
    </row>
    <row r="117" ht="18" customHeight="1">
      <c r="A117" s="52" t="n">
        <v>116</v>
      </c>
      <c r="B117" s="54" t="n">
        <v>46291.0703587963</v>
      </c>
      <c r="C117" s="10" t="inlineStr">
        <is>
          <t>Нормальный вход по ключу</t>
        </is>
      </c>
      <c r="D117" s="10" t="inlineStr">
        <is>
          <t>Дверь в чистую зону</t>
        </is>
      </c>
      <c r="E117" s="10" t="inlineStr">
        <is>
          <t>25.09–26.09 ночная (пт–сб)</t>
        </is>
      </c>
      <c r="F117" s="10" t="inlineStr">
        <is>
          <t>Вернулся на рабочее место</t>
        </is>
      </c>
    </row>
    <row r="118" ht="18" customHeight="1">
      <c r="A118" s="52" t="n">
        <v>117</v>
      </c>
      <c r="B118" s="54" t="n">
        <v>46291.21351851852</v>
      </c>
      <c r="C118" s="10" t="inlineStr">
        <is>
          <t>Нормальный выход по ключу</t>
        </is>
      </c>
      <c r="D118" s="10" t="inlineStr">
        <is>
          <t>Дверь в чистую зону</t>
        </is>
      </c>
      <c r="E118" s="10" t="inlineStr">
        <is>
          <t>25.09–26.09 ночная (пт–сб)</t>
        </is>
      </c>
      <c r="F118" s="10" t="inlineStr">
        <is>
          <t>Вышел с рабочего места</t>
        </is>
      </c>
    </row>
    <row r="119" ht="18" customHeight="1">
      <c r="A119" s="52" t="n">
        <v>118</v>
      </c>
      <c r="B119" s="54" t="n">
        <v>46291.23690972223</v>
      </c>
      <c r="C119" s="10" t="inlineStr">
        <is>
          <t>Нормальный вход по ключу</t>
        </is>
      </c>
      <c r="D119" s="10" t="inlineStr">
        <is>
          <t>Дверь в чистую зону</t>
        </is>
      </c>
      <c r="E119" s="10" t="inlineStr">
        <is>
          <t>25.09–26.09 ночная (пт–сб)</t>
        </is>
      </c>
      <c r="F119" s="10" t="inlineStr">
        <is>
          <t>Вернулся на рабочее место</t>
        </is>
      </c>
    </row>
    <row r="120" ht="18" customHeight="1">
      <c r="A120" s="36" t="n">
        <v>119</v>
      </c>
      <c r="B120" s="78" t="n">
        <v>46291.37106481481</v>
      </c>
      <c r="C120" s="20" t="inlineStr">
        <is>
          <t>Нормальный выход по ключу</t>
        </is>
      </c>
      <c r="D120" s="20" t="inlineStr">
        <is>
          <t>Дверь в чистую зону</t>
        </is>
      </c>
      <c r="E120" s="20" t="inlineStr">
        <is>
          <t>25.09–26.09 ночная (пт–сб)</t>
        </is>
      </c>
      <c r="F120" s="80" t="inlineStr">
        <is>
          <t>Ранний уход с рабочего места</t>
        </is>
      </c>
    </row>
    <row r="121" ht="18" customHeight="1">
      <c r="A121" s="52" t="n">
        <v>120</v>
      </c>
      <c r="B121" s="54" t="n">
        <v>46291.39034722222</v>
      </c>
      <c r="C121" s="10" t="inlineStr">
        <is>
          <t>Фактический выход</t>
        </is>
      </c>
      <c r="D121" s="87" t="inlineStr">
        <is>
          <t>Турникет на проходной</t>
        </is>
      </c>
      <c r="E121" s="10" t="inlineStr">
        <is>
          <t>25.09–26.09 ночная (пт–сб)</t>
        </is>
      </c>
      <c r="F121" s="10" t="inlineStr">
        <is>
          <t>Выход с территории</t>
        </is>
      </c>
    </row>
    <row r="122" ht="18" customHeight="1">
      <c r="A122" s="52" t="n">
        <v>121</v>
      </c>
      <c r="B122" s="54" t="n">
        <v>46291.85046296296</v>
      </c>
      <c r="C122" s="10" t="inlineStr">
        <is>
          <t>Фактический вход</t>
        </is>
      </c>
      <c r="D122" s="87" t="inlineStr">
        <is>
          <t>Турникет на проходной</t>
        </is>
      </c>
      <c r="E122" s="10" t="inlineStr">
        <is>
          <t>26.09–27.09 ночная (сб–вс)</t>
        </is>
      </c>
      <c r="F122" s="10" t="inlineStr">
        <is>
          <t>Вход на территорию</t>
        </is>
      </c>
    </row>
    <row r="123" ht="18" customHeight="1">
      <c r="A123" s="52" t="n">
        <v>122</v>
      </c>
      <c r="B123" s="54" t="n">
        <v>46291.85348379629</v>
      </c>
      <c r="C123" s="10" t="inlineStr">
        <is>
          <t>Нормальный вход по ключу</t>
        </is>
      </c>
      <c r="D123" s="71" t="inlineStr">
        <is>
          <t>Дверь в Гардероб</t>
        </is>
      </c>
      <c r="E123" s="10" t="inlineStr">
        <is>
          <t>26.09–27.09 ночная (сб–вс)</t>
        </is>
      </c>
      <c r="F123" s="10" t="inlineStr">
        <is>
          <t>Вход в гардероб (не рабочее место)</t>
        </is>
      </c>
    </row>
    <row r="124" ht="18" customHeight="1">
      <c r="A124" s="52" t="n">
        <v>123</v>
      </c>
      <c r="B124" s="54" t="n">
        <v>46291.86349537037</v>
      </c>
      <c r="C124" s="10" t="inlineStr">
        <is>
          <t>Нормальный вход по ключу</t>
        </is>
      </c>
      <c r="D124" s="10" t="inlineStr">
        <is>
          <t>Дверь в чистую зону</t>
        </is>
      </c>
      <c r="E124" s="10" t="inlineStr">
        <is>
          <t>26.09–27.09 ночная (сб–вс)</t>
        </is>
      </c>
      <c r="F124" s="10" t="inlineStr">
        <is>
          <t>Приход на рабочее место до начала смены</t>
        </is>
      </c>
    </row>
    <row r="125" ht="18" customHeight="1">
      <c r="A125" s="52" t="n">
        <v>124</v>
      </c>
      <c r="B125" s="54" t="n">
        <v>46292.08171296296</v>
      </c>
      <c r="C125" s="10" t="inlineStr">
        <is>
          <t>Нормальный выход по ключу</t>
        </is>
      </c>
      <c r="D125" s="10" t="inlineStr">
        <is>
          <t>Дверь в чистую зону</t>
        </is>
      </c>
      <c r="E125" s="10" t="inlineStr">
        <is>
          <t>26.09–27.09 ночная (сб–вс)</t>
        </is>
      </c>
      <c r="F125" s="10" t="inlineStr">
        <is>
          <t>Вышел с рабочего места</t>
        </is>
      </c>
    </row>
    <row r="126" ht="18" customHeight="1">
      <c r="A126" s="52" t="n">
        <v>125</v>
      </c>
      <c r="B126" s="54" t="n">
        <v>46292.09583333333</v>
      </c>
      <c r="C126" s="10" t="inlineStr">
        <is>
          <t>Нормальный вход по ключу</t>
        </is>
      </c>
      <c r="D126" s="10" t="inlineStr">
        <is>
          <t>Дверь в чистую зону</t>
        </is>
      </c>
      <c r="E126" s="10" t="inlineStr">
        <is>
          <t>26.09–27.09 ночная (сб–вс)</t>
        </is>
      </c>
      <c r="F126" s="10" t="inlineStr">
        <is>
          <t>Вернулся на рабочее место</t>
        </is>
      </c>
    </row>
    <row r="127" ht="18" customHeight="1">
      <c r="A127" s="52" t="n">
        <v>126</v>
      </c>
      <c r="B127" s="54" t="n">
        <v>46292.21282407407</v>
      </c>
      <c r="C127" s="10" t="inlineStr">
        <is>
          <t>Нормальный выход по ключу</t>
        </is>
      </c>
      <c r="D127" s="10" t="inlineStr">
        <is>
          <t>Дверь в чистую зону</t>
        </is>
      </c>
      <c r="E127" s="10" t="inlineStr">
        <is>
          <t>26.09–27.09 ночная (сб–вс)</t>
        </is>
      </c>
      <c r="F127" s="10" t="inlineStr">
        <is>
          <t>Вышел с рабочего места</t>
        </is>
      </c>
    </row>
    <row r="128" ht="18" customHeight="1">
      <c r="A128" s="52" t="n">
        <v>127</v>
      </c>
      <c r="B128" s="54" t="n">
        <v>46292.22017361111</v>
      </c>
      <c r="C128" s="10" t="inlineStr">
        <is>
          <t>Нормальный вход по ключу</t>
        </is>
      </c>
      <c r="D128" s="10" t="inlineStr">
        <is>
          <t>Дверь в чистую зону</t>
        </is>
      </c>
      <c r="E128" s="10" t="inlineStr">
        <is>
          <t>26.09–27.09 ночная (сб–вс)</t>
        </is>
      </c>
      <c r="F128" s="10" t="inlineStr">
        <is>
          <t>Вернулся на рабочее место</t>
        </is>
      </c>
    </row>
    <row r="129" ht="18" customHeight="1">
      <c r="A129" s="36" t="n">
        <v>128</v>
      </c>
      <c r="B129" s="78" t="n">
        <v>46292.37271990741</v>
      </c>
      <c r="C129" s="20" t="inlineStr">
        <is>
          <t>Нормальный выход по ключу</t>
        </is>
      </c>
      <c r="D129" s="20" t="inlineStr">
        <is>
          <t>Дверь в чистую зону</t>
        </is>
      </c>
      <c r="E129" s="20" t="inlineStr">
        <is>
          <t>26.09–27.09 ночная (сб–вс)</t>
        </is>
      </c>
      <c r="F129" s="80" t="inlineStr">
        <is>
          <t>Ранний уход с рабочего места</t>
        </is>
      </c>
    </row>
    <row r="130" ht="18" customHeight="1">
      <c r="A130" s="52" t="n">
        <v>129</v>
      </c>
      <c r="B130" s="54" t="n">
        <v>46292.37738425926</v>
      </c>
      <c r="C130" s="10" t="inlineStr">
        <is>
          <t>Нормальный вход по ключу</t>
        </is>
      </c>
      <c r="D130" s="71" t="inlineStr">
        <is>
          <t>Дверь в Гардероб</t>
        </is>
      </c>
      <c r="E130" s="10" t="inlineStr">
        <is>
          <t>26.09–27.09 ночная (сб–вс)</t>
        </is>
      </c>
      <c r="F130" s="10" t="inlineStr">
        <is>
          <t>Вход в гардероб (не рабочее место)</t>
        </is>
      </c>
    </row>
    <row r="131" ht="18" customHeight="1">
      <c r="A131" s="52" t="n">
        <v>130</v>
      </c>
      <c r="B131" s="54" t="n">
        <v>46292.38101851852</v>
      </c>
      <c r="C131" s="10" t="inlineStr">
        <is>
          <t>Фактический выход</t>
        </is>
      </c>
      <c r="D131" s="87" t="inlineStr">
        <is>
          <t>Турникет на проходной</t>
        </is>
      </c>
      <c r="E131" s="10" t="inlineStr">
        <is>
          <t>26.09–27.09 ночная (сб–вс)</t>
        </is>
      </c>
      <c r="F131" s="10" t="inlineStr">
        <is>
          <t>Выход с территории</t>
        </is>
      </c>
    </row>
    <row r="132" ht="18" customHeight="1">
      <c r="A132" s="52" t="n">
        <v>131</v>
      </c>
      <c r="B132" s="54" t="n">
        <v>46294.35409722223</v>
      </c>
      <c r="C132" s="10" t="inlineStr">
        <is>
          <t>Фактический вход</t>
        </is>
      </c>
      <c r="D132" s="87" t="inlineStr">
        <is>
          <t>Турникет на проходной</t>
        </is>
      </c>
      <c r="E132" s="10" t="inlineStr">
        <is>
          <t>29.09 дневная (вт)</t>
        </is>
      </c>
      <c r="F132" s="10" t="inlineStr">
        <is>
          <t>Вход на территорию</t>
        </is>
      </c>
    </row>
    <row r="133" ht="18" customHeight="1">
      <c r="A133" s="52" t="n">
        <v>132</v>
      </c>
      <c r="B133" s="54" t="n">
        <v>46294.36788194445</v>
      </c>
      <c r="C133" s="10" t="inlineStr">
        <is>
          <t>Нормальный вход по ключу</t>
        </is>
      </c>
      <c r="D133" s="10" t="inlineStr">
        <is>
          <t>Дверь в чистую зону</t>
        </is>
      </c>
      <c r="E133" s="10" t="inlineStr">
        <is>
          <t>29.09 дневная (вт)</t>
        </is>
      </c>
      <c r="F133" s="10" t="inlineStr">
        <is>
          <t>Приход на рабочее место до начала смены</t>
        </is>
      </c>
    </row>
    <row r="134" ht="18" customHeight="1">
      <c r="A134" s="52" t="n">
        <v>133</v>
      </c>
      <c r="B134" s="54" t="n">
        <v>46294.50798611111</v>
      </c>
      <c r="C134" s="10" t="inlineStr">
        <is>
          <t>Нормальный выход по ключу</t>
        </is>
      </c>
      <c r="D134" s="10" t="inlineStr">
        <is>
          <t>Дверь в чистую зону</t>
        </is>
      </c>
      <c r="E134" s="10" t="inlineStr">
        <is>
          <t>29.09 дневная (вт)</t>
        </is>
      </c>
      <c r="F134" s="10" t="inlineStr">
        <is>
          <t>Вышел с рабочего места</t>
        </is>
      </c>
    </row>
    <row r="135" ht="18" customHeight="1">
      <c r="A135" s="52" t="n">
        <v>134</v>
      </c>
      <c r="B135" s="54" t="n">
        <v>46294.54256944444</v>
      </c>
      <c r="C135" s="10" t="inlineStr">
        <is>
          <t>Нормальный вход по ключу</t>
        </is>
      </c>
      <c r="D135" s="10" t="inlineStr">
        <is>
          <t>Дверь в чистую зону</t>
        </is>
      </c>
      <c r="E135" s="10" t="inlineStr">
        <is>
          <t>29.09 дневная (вт)</t>
        </is>
      </c>
      <c r="F135" s="10" t="inlineStr">
        <is>
          <t>Вернулся на рабочее место</t>
        </is>
      </c>
    </row>
    <row r="136" ht="18" customHeight="1">
      <c r="A136" s="52" t="n">
        <v>135</v>
      </c>
      <c r="B136" s="54" t="n">
        <v>46294.68196759259</v>
      </c>
      <c r="C136" s="10" t="inlineStr">
        <is>
          <t>Нормальный выход по ключу</t>
        </is>
      </c>
      <c r="D136" s="10" t="inlineStr">
        <is>
          <t>Дверь в чистую зону</t>
        </is>
      </c>
      <c r="E136" s="10" t="inlineStr">
        <is>
          <t>29.09 дневная (вт)</t>
        </is>
      </c>
      <c r="F136" s="10" t="inlineStr">
        <is>
          <t>Вышел с рабочего места</t>
        </is>
      </c>
    </row>
    <row r="137" ht="18" customHeight="1">
      <c r="A137" s="52" t="n">
        <v>136</v>
      </c>
      <c r="B137" s="54" t="n">
        <v>46294.6843287037</v>
      </c>
      <c r="C137" s="10" t="inlineStr">
        <is>
          <t>Нормальный вход по ключу</t>
        </is>
      </c>
      <c r="D137" s="10" t="inlineStr">
        <is>
          <t>Дверь в чистую зону</t>
        </is>
      </c>
      <c r="E137" s="10" t="inlineStr">
        <is>
          <t>29.09 дневная (вт)</t>
        </is>
      </c>
      <c r="F137" s="10" t="inlineStr">
        <is>
          <t>Вернулся на рабочее место</t>
        </is>
      </c>
    </row>
    <row r="138" ht="18" customHeight="1">
      <c r="A138" s="52" t="n">
        <v>137</v>
      </c>
      <c r="B138" s="54" t="n">
        <v>46294.79877314815</v>
      </c>
      <c r="C138" s="10" t="inlineStr">
        <is>
          <t>Нормальный выход по ключу</t>
        </is>
      </c>
      <c r="D138" s="10" t="inlineStr">
        <is>
          <t>Дверь в чистую зону</t>
        </is>
      </c>
      <c r="E138" s="10" t="inlineStr">
        <is>
          <t>29.09 дневная (вт)</t>
        </is>
      </c>
      <c r="F138" s="10" t="inlineStr">
        <is>
          <t>Вышел с рабочего места</t>
        </is>
      </c>
    </row>
    <row r="139" ht="18" customHeight="1">
      <c r="A139" s="52" t="n">
        <v>138</v>
      </c>
      <c r="B139" s="54" t="n">
        <v>46294.80799768519</v>
      </c>
      <c r="C139" s="10" t="inlineStr">
        <is>
          <t>Нормальный вход по ключу</t>
        </is>
      </c>
      <c r="D139" s="10" t="inlineStr">
        <is>
          <t>Дверь в чистую зону</t>
        </is>
      </c>
      <c r="E139" s="10" t="inlineStr">
        <is>
          <t>29.09 дневная (вт)</t>
        </is>
      </c>
      <c r="F139" s="10" t="inlineStr">
        <is>
          <t>Вернулся на рабочее место</t>
        </is>
      </c>
    </row>
    <row r="140" ht="18" customHeight="1">
      <c r="A140" s="36" t="n">
        <v>139</v>
      </c>
      <c r="B140" s="78" t="n">
        <v>46294.86681712963</v>
      </c>
      <c r="C140" s="20" t="inlineStr">
        <is>
          <t>Нормальный выход по ключу</t>
        </is>
      </c>
      <c r="D140" s="20" t="inlineStr">
        <is>
          <t>Дверь в чистую зону</t>
        </is>
      </c>
      <c r="E140" s="20" t="inlineStr">
        <is>
          <t>29.09 дневная (вт)</t>
        </is>
      </c>
      <c r="F140" s="80" t="inlineStr">
        <is>
          <t>Ранний уход с рабочего места</t>
        </is>
      </c>
    </row>
    <row r="141" ht="18" customHeight="1">
      <c r="A141" s="52" t="n">
        <v>140</v>
      </c>
      <c r="B141" s="54" t="n">
        <v>46294.8719212963</v>
      </c>
      <c r="C141" s="10" t="inlineStr">
        <is>
          <t>Нормальный вход по ключу</t>
        </is>
      </c>
      <c r="D141" s="71" t="inlineStr">
        <is>
          <t>Дверь в Гардероб</t>
        </is>
      </c>
      <c r="E141" s="10" t="inlineStr">
        <is>
          <t>29.09 дневная (вт)</t>
        </is>
      </c>
      <c r="F141" s="10" t="inlineStr">
        <is>
          <t>Вход в гардероб (не рабочее место)</t>
        </is>
      </c>
    </row>
    <row r="142" ht="18" customHeight="1">
      <c r="A142" s="52" t="n">
        <v>141</v>
      </c>
      <c r="B142" s="54" t="n">
        <v>46294.87579861111</v>
      </c>
      <c r="C142" s="10" t="inlineStr">
        <is>
          <t>Фактический выход</t>
        </is>
      </c>
      <c r="D142" s="87" t="inlineStr">
        <is>
          <t>Турникет на проходной</t>
        </is>
      </c>
      <c r="E142" s="10" t="inlineStr">
        <is>
          <t>29.09 дневная (вт)</t>
        </is>
      </c>
      <c r="F142" s="10" t="inlineStr">
        <is>
          <t>Выход с территории</t>
        </is>
      </c>
    </row>
    <row r="143" ht="18" customHeight="1">
      <c r="A143" s="88" t="n">
        <v>142</v>
      </c>
      <c r="B143" s="89" t="n">
        <v>46295.35393518519</v>
      </c>
      <c r="C143" s="90" t="inlineStr">
        <is>
          <t>Фактический выход</t>
        </is>
      </c>
      <c r="D143" s="90" t="inlineStr">
        <is>
          <t>Турникет на проходной</t>
        </is>
      </c>
      <c r="E143" s="90" t="inlineStr">
        <is>
          <t>30.09 дневная (ср)</t>
        </is>
      </c>
      <c r="F143" s="91" t="inlineStr">
        <is>
          <t>Не использован: выход через турникет без предшествующего входа</t>
        </is>
      </c>
    </row>
    <row r="144" ht="18" customHeight="1">
      <c r="A144" s="52" t="n">
        <v>143</v>
      </c>
      <c r="B144" s="54" t="n">
        <v>46295.35402777778</v>
      </c>
      <c r="C144" s="10" t="inlineStr">
        <is>
          <t>Фактический вход</t>
        </is>
      </c>
      <c r="D144" s="87" t="inlineStr">
        <is>
          <t>Турникет на проходной</t>
        </is>
      </c>
      <c r="E144" s="10" t="inlineStr">
        <is>
          <t>30.09 дневная (ср)</t>
        </is>
      </c>
      <c r="F144" s="10" t="inlineStr">
        <is>
          <t>Вход на территорию</t>
        </is>
      </c>
    </row>
    <row r="145" ht="18" customHeight="1">
      <c r="A145" s="52" t="n">
        <v>144</v>
      </c>
      <c r="B145" s="54" t="n">
        <v>46295.35704861111</v>
      </c>
      <c r="C145" s="10" t="inlineStr">
        <is>
          <t>Нормальный вход по ключу</t>
        </is>
      </c>
      <c r="D145" s="71" t="inlineStr">
        <is>
          <t>Дверь в Гардероб</t>
        </is>
      </c>
      <c r="E145" s="10" t="inlineStr">
        <is>
          <t>30.09 дневная (ср)</t>
        </is>
      </c>
      <c r="F145" s="10" t="inlineStr">
        <is>
          <t>Вход в гардероб (не рабочее место)</t>
        </is>
      </c>
    </row>
    <row r="146" ht="18" customHeight="1">
      <c r="A146" s="52" t="n">
        <v>145</v>
      </c>
      <c r="B146" s="54" t="n">
        <v>46295.36804398148</v>
      </c>
      <c r="C146" s="10" t="inlineStr">
        <is>
          <t>Нормальный вход по ключу</t>
        </is>
      </c>
      <c r="D146" s="10" t="inlineStr">
        <is>
          <t>Дверь в чистую зону</t>
        </is>
      </c>
      <c r="E146" s="10" t="inlineStr">
        <is>
          <t>30.09 дневная (ср)</t>
        </is>
      </c>
      <c r="F146" s="10" t="inlineStr">
        <is>
          <t>Приход на рабочее место до начала смены</t>
        </is>
      </c>
    </row>
    <row r="147" ht="18" customHeight="1">
      <c r="A147" s="52" t="n">
        <v>146</v>
      </c>
      <c r="B147" s="54" t="n">
        <v>46295.46450231481</v>
      </c>
      <c r="C147" s="10" t="inlineStr">
        <is>
          <t>Нормальный выход по ключу</t>
        </is>
      </c>
      <c r="D147" s="10" t="inlineStr">
        <is>
          <t>Дверь в чистую зону</t>
        </is>
      </c>
      <c r="E147" s="10" t="inlineStr">
        <is>
          <t>30.09 дневная (ср)</t>
        </is>
      </c>
      <c r="F147" s="10" t="inlineStr">
        <is>
          <t>Вышел с рабочего места</t>
        </is>
      </c>
    </row>
    <row r="148" ht="18" customHeight="1">
      <c r="A148" s="52" t="n">
        <v>147</v>
      </c>
      <c r="B148" s="54" t="n">
        <v>46295.50362268519</v>
      </c>
      <c r="C148" s="10" t="inlineStr">
        <is>
          <t>Нормальный вход по ключу</t>
        </is>
      </c>
      <c r="D148" s="10" t="inlineStr">
        <is>
          <t>Дверь в чистую зону</t>
        </is>
      </c>
      <c r="E148" s="10" t="inlineStr">
        <is>
          <t>30.09 дневная (ср)</t>
        </is>
      </c>
      <c r="F148" s="10" t="inlineStr">
        <is>
          <t>Вернулся на рабочее место</t>
        </is>
      </c>
    </row>
    <row r="149" ht="18" customHeight="1">
      <c r="A149" s="52" t="n">
        <v>148</v>
      </c>
      <c r="B149" s="54" t="n">
        <v>46295.67640046297</v>
      </c>
      <c r="C149" s="10" t="inlineStr">
        <is>
          <t>Нормальный выход по ключу</t>
        </is>
      </c>
      <c r="D149" s="10" t="inlineStr">
        <is>
          <t>Дверь в чистую зону</t>
        </is>
      </c>
      <c r="E149" s="10" t="inlineStr">
        <is>
          <t>30.09 дневная (ср)</t>
        </is>
      </c>
      <c r="F149" s="10" t="inlineStr">
        <is>
          <t>Вышел с рабочего места</t>
        </is>
      </c>
    </row>
    <row r="150" ht="18" customHeight="1">
      <c r="A150" s="52" t="n">
        <v>149</v>
      </c>
      <c r="B150" s="54" t="n">
        <v>46295.67876157408</v>
      </c>
      <c r="C150" s="10" t="inlineStr">
        <is>
          <t>Нормальный вход по ключу</t>
        </is>
      </c>
      <c r="D150" s="10" t="inlineStr">
        <is>
          <t>Дверь в чистую зону</t>
        </is>
      </c>
      <c r="E150" s="10" t="inlineStr">
        <is>
          <t>30.09 дневная (ср)</t>
        </is>
      </c>
      <c r="F150" s="10" t="inlineStr">
        <is>
          <t>Вернулся на рабочее место</t>
        </is>
      </c>
    </row>
    <row r="151" ht="18" customHeight="1">
      <c r="A151" s="36" t="n">
        <v>150</v>
      </c>
      <c r="B151" s="78" t="n">
        <v>46295.87200231481</v>
      </c>
      <c r="C151" s="20" t="inlineStr">
        <is>
          <t>Нормальный выход по ключу</t>
        </is>
      </c>
      <c r="D151" s="20" t="inlineStr">
        <is>
          <t>Дверь в чистую зону</t>
        </is>
      </c>
      <c r="E151" s="20" t="inlineStr">
        <is>
          <t>30.09 дневная (ср)</t>
        </is>
      </c>
      <c r="F151" s="80" t="inlineStr">
        <is>
          <t>Ранний уход с рабочего места</t>
        </is>
      </c>
    </row>
    <row r="152" ht="18" customHeight="1">
      <c r="A152" s="52" t="n">
        <v>151</v>
      </c>
      <c r="B152" s="54" t="n">
        <v>46295.87597222222</v>
      </c>
      <c r="C152" s="10" t="inlineStr">
        <is>
          <t>Нормальный вход по ключу</t>
        </is>
      </c>
      <c r="D152" s="71" t="inlineStr">
        <is>
          <t>Дверь в Гардероб</t>
        </is>
      </c>
      <c r="E152" s="10" t="inlineStr">
        <is>
          <t>30.09 дневная (ср)</t>
        </is>
      </c>
      <c r="F152" s="10" t="inlineStr">
        <is>
          <t>Вход в гардероб (не рабочее место)</t>
        </is>
      </c>
    </row>
    <row r="153" ht="18" customHeight="1">
      <c r="A153" s="52" t="n">
        <v>152</v>
      </c>
      <c r="B153" s="54" t="n">
        <v>46295.87924768519</v>
      </c>
      <c r="C153" s="10" t="inlineStr">
        <is>
          <t>Фактический выход</t>
        </is>
      </c>
      <c r="D153" s="87" t="inlineStr">
        <is>
          <t>Турникет на проходной</t>
        </is>
      </c>
      <c r="E153" s="10" t="inlineStr">
        <is>
          <t>30.09 дневная (ср)</t>
        </is>
      </c>
      <c r="F153" s="10" t="inlineStr">
        <is>
          <t>Выход с территории</t>
        </is>
      </c>
    </row>
  </sheetData>
  <autoFilter ref="A1:F153"/>
  <pageMargins left="0.75" right="0.75" top="1" bottom="1" header="0.5" footer="0.5"/>
  <pageSetup orientation="landscape" fitToHeight="0" fitToWidth="1"/>
  <headerFooter>
    <oddHeader/>
    <oddFooter>&amp;RЖурнал событий,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A6D1B"/>
    <outlinePr summaryBelow="1" summaryRight="1"/>
    <pageSetUpPr fitToPage="1"/>
  </sheetPr>
  <dimension ref="B2:B15"/>
  <sheetViews>
    <sheetView showGridLines="0" zoomScale="120" workbookViewId="0">
      <selection activeCell="A1" sqref="A1"/>
    </sheetView>
  </sheetViews>
  <sheetFormatPr baseColWidth="8" defaultRowHeight="15"/>
  <cols>
    <col width="3" customWidth="1" min="1" max="1"/>
    <col width="140" customWidth="1" min="2" max="2"/>
  </cols>
  <sheetData>
    <row r="1" ht="10" customHeight="1"/>
    <row r="2" ht="24" customHeight="1">
      <c r="B2" s="5" t="inlineStr">
        <is>
          <t>Как посчитано</t>
        </is>
      </c>
    </row>
    <row r="3" ht="48" customHeight="1">
      <c r="B3" s="92" t="inlineStr">
        <is>
          <t>Рабочее место — зона за дверью «Дверь в чистую зону». Время на рабочем месте — сумма промежутков от «Нормальный вход по ключу» до следующего «Нормальный выход по ключу» по этой двери. Короткий заход тоже учтён: 13.09 сотрудник зашёл в 18:37:13 и вышел в 18:37:34, это 21 секунда.</t>
        </is>
      </c>
    </row>
    <row r="4" ht="48" customHeight="1">
      <c r="B4" s="92" t="inlineStr">
        <is>
          <t>Территория — от «Фактический вход» до «Фактический выход» на турникете проходной. Гардероб стоит на территории, но рабочим местом не является. В журнале у гардероба есть только входы, выходов нет, поэтому отдельное время гардероба не считается. Оно входит во время на территории и не входит во время на рабочем месте.</t>
        </is>
      </c>
    </row>
    <row r="5" ht="48" customHeight="1">
      <c r="B5" s="92" t="inlineStr">
        <is>
          <t>График смены — 12 часов. Если сотрудник уходит с территории утром (около 09:00), это конец ночной смены 21:00–09:00. Если уходит вечером (около 21:00), это конец дневной смены 09:00–21:00. В журнале других вариантов выхода нет.</t>
        </is>
      </c>
    </row>
    <row r="6" ht="48" customHeight="1">
      <c r="B6" s="92" t="inlineStr">
        <is>
          <t>Опоздание — первый вход в чистую зону позже начала смены. Приход раньше начала не считается нарушением: к 09:00 или к 21:00 человек уже был на рабочем месте.</t>
        </is>
      </c>
    </row>
    <row r="7" ht="48" customHeight="1">
      <c r="B7" s="92" t="inlineStr">
        <is>
          <t>Ранний уход — последний выход из чистой зоны раньше конца смены. Если после этого он ещё заходил в гардероб или выходил через турникет позже, смена на рабочем месте всё равно закончилась в момент выхода из чистой зоны. Уход позже конца смены нарушением не считается.</t>
        </is>
      </c>
    </row>
    <row r="8" ht="48" customHeight="1">
      <c r="B8" s="92" t="inlineStr">
        <is>
          <t>Цветом выделены отклонения от 1 минуты. Красный — опоздание, оранжевый — ранний уход. Жёлтым отмечено пояснение у такого отклонения и у неполных данных. Расхождение меньше минуты видно в цифрах и в бледно-жёлтой ячейке, но в статус «нарушение» не попадает: это сопоставимо с секундами срабатывания двери.</t>
        </is>
      </c>
    </row>
    <row r="9" ht="64" customHeight="1">
      <c r="B9" s="92" t="inlineStr">
        <is>
          <t>Отлучка — выход из чистой зоны и следующий вход в неё в той же смене. Повторного прохода через турникет посреди смены нет, то есть во время отлучки сотрудник оставался на территории. Отлучка не названа ни опозданием, ни ранним уходом. В колонке «Отлучки от 10 минут» перечислены только промежутки от 10 минут; более короткие лежат на листе «Отлучки».</t>
        </is>
      </c>
    </row>
    <row r="10" ht="48" customHeight="1">
      <c r="B10" s="92" t="inlineStr">
        <is>
          <t>Доля графика — время в чистой зоне между началом и концом смены, делённое на 12 часов. Минуты, проведённые в чистой зоне до начала или после конца, в долю не входят, но входят в общее время на рабочем месте.</t>
        </is>
      </c>
    </row>
    <row r="11" ht="24" customHeight="1">
      <c r="B11" s="5" t="inlineStr">
        <is>
          <t>Что сознательно не додумано</t>
        </is>
      </c>
    </row>
    <row r="12" ht="48" customHeight="1">
      <c r="B12" s="92" t="inlineStr">
        <is>
          <t>Дни без единой записи не названы прогулами или выходными. В файле их нет, и по одному только журналу нельзя понять, была это смена другого человека, отгул или обрезанная выгрузка.</t>
        </is>
      </c>
    </row>
    <row r="13" ht="48" customHeight="1">
      <c r="B13" s="92" t="inlineStr">
        <is>
          <t>Ночь 31.08–01.09 обрезана началом файла. Известен только кусок с 05:44:19 до 08:59:39 плюс сам факт, что в 05:09:25 человек уже выходил из чистой зоны. Общий итог на этот кусок не опирается.</t>
        </is>
      </c>
    </row>
    <row r="14" ht="48" customHeight="1">
      <c r="B14" s="92" t="inlineStr">
        <is>
          <t>Ночь 01.09–02.09 не имеет входа через турникет. В итог территории она не включена, в итог рабочего места включена.</t>
        </is>
      </c>
    </row>
    <row r="15" ht="48" customHeight="1">
      <c r="B15" s="92" t="inlineStr">
        <is>
          <t>Событие 30.09 в 08:29:40 («фактический выход» за 8 секунд до входа) не принято за уход с территории.</t>
        </is>
      </c>
    </row>
  </sheetData>
  <pageMargins left="0.6" right="0.6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</cols>
  <sheetData>
    <row r="1">
      <c r="A1" s="93" t="inlineStr">
        <is>
          <t>Смена</t>
        </is>
      </c>
      <c r="B1" s="93" t="inlineStr">
        <is>
          <t>На рабочем месте, ч</t>
        </is>
      </c>
      <c r="C1" s="93" t="inlineStr">
        <is>
          <t>На территории, ч</t>
        </is>
      </c>
      <c r="D1" s="93" t="inlineStr">
        <is>
          <t>График, ч</t>
        </is>
      </c>
    </row>
    <row r="2">
      <c r="A2" s="94" t="inlineStr">
        <is>
          <t>31.08–01.09 ночная (пн–вт) *</t>
        </is>
      </c>
      <c r="B2" s="95" t="n">
        <v>3.2556</v>
      </c>
      <c r="C2" s="95" t="n"/>
      <c r="D2" s="96" t="n"/>
    </row>
    <row r="3">
      <c r="A3" s="94" t="inlineStr">
        <is>
          <t>01.09–02.09 ночная (вт–ср)</t>
        </is>
      </c>
      <c r="B3" s="95" t="n">
        <v>11.0719</v>
      </c>
      <c r="C3" s="95" t="n"/>
      <c r="D3" s="96" t="n">
        <v>12</v>
      </c>
    </row>
    <row r="4">
      <c r="A4" s="94" t="inlineStr">
        <is>
          <t>05.09 дневная (сб)</t>
        </is>
      </c>
      <c r="B4" s="95" t="n">
        <v>10.8411</v>
      </c>
      <c r="C4" s="95" t="n">
        <v>12.7383</v>
      </c>
      <c r="D4" s="96" t="n">
        <v>12</v>
      </c>
    </row>
    <row r="5">
      <c r="A5" s="94" t="inlineStr">
        <is>
          <t>06.09 дневная (вс)</t>
        </is>
      </c>
      <c r="B5" s="95" t="n">
        <v>10.6364</v>
      </c>
      <c r="C5" s="95" t="n">
        <v>12.8556</v>
      </c>
      <c r="D5" s="96" t="n">
        <v>12</v>
      </c>
    </row>
    <row r="6">
      <c r="A6" s="94" t="inlineStr">
        <is>
          <t>07.09–08.09 ночная (пн–вт)</t>
        </is>
      </c>
      <c r="B6" s="95" t="n">
        <v>11.2669</v>
      </c>
      <c r="C6" s="95" t="n">
        <v>12.6533</v>
      </c>
      <c r="D6" s="96" t="n">
        <v>12</v>
      </c>
    </row>
    <row r="7">
      <c r="A7" s="94" t="inlineStr">
        <is>
          <t>08.09–09.09 ночная (вт–ср)</t>
        </is>
      </c>
      <c r="B7" s="95" t="n">
        <v>10.8103</v>
      </c>
      <c r="C7" s="95" t="n">
        <v>12.6081</v>
      </c>
      <c r="D7" s="96" t="n">
        <v>12</v>
      </c>
    </row>
    <row r="8">
      <c r="A8" s="94" t="inlineStr">
        <is>
          <t>09.09–10.09 ночная (ср–чт)</t>
        </is>
      </c>
      <c r="B8" s="95" t="n">
        <v>10.8567</v>
      </c>
      <c r="C8" s="95" t="n">
        <v>12.7997</v>
      </c>
      <c r="D8" s="96" t="n">
        <v>12</v>
      </c>
    </row>
    <row r="9">
      <c r="A9" s="94" t="inlineStr">
        <is>
          <t>13.09 дневная (вс)</t>
        </is>
      </c>
      <c r="B9" s="95" t="n">
        <v>10.5914</v>
      </c>
      <c r="C9" s="95" t="n">
        <v>12.6539</v>
      </c>
      <c r="D9" s="96" t="n">
        <v>12</v>
      </c>
    </row>
    <row r="10">
      <c r="A10" s="94" t="inlineStr">
        <is>
          <t>14.09 дневная (пн)</t>
        </is>
      </c>
      <c r="B10" s="95" t="n">
        <v>11.0561</v>
      </c>
      <c r="C10" s="95" t="n">
        <v>12.7586</v>
      </c>
      <c r="D10" s="96" t="n">
        <v>12</v>
      </c>
    </row>
    <row r="11">
      <c r="A11" s="94" t="inlineStr">
        <is>
          <t>22.09 дневная (вт)</t>
        </is>
      </c>
      <c r="B11" s="95" t="n">
        <v>9.8156</v>
      </c>
      <c r="C11" s="95" t="n">
        <v>12.6761</v>
      </c>
      <c r="D11" s="96" t="n">
        <v>12</v>
      </c>
    </row>
    <row r="12">
      <c r="A12" s="94" t="inlineStr">
        <is>
          <t>24.09–25.09 ночная (чт–пт)</t>
        </is>
      </c>
      <c r="B12" s="95" t="n">
        <v>11.3036</v>
      </c>
      <c r="C12" s="95" t="n">
        <v>12.7978</v>
      </c>
      <c r="D12" s="96" t="n">
        <v>12</v>
      </c>
    </row>
    <row r="13">
      <c r="A13" s="94" t="inlineStr">
        <is>
          <t>25.09–26.09 ночная (пт–сб)</t>
        </is>
      </c>
      <c r="B13" s="95" t="n">
        <v>11.3492</v>
      </c>
      <c r="C13" s="95" t="n">
        <v>12.9069</v>
      </c>
      <c r="D13" s="96" t="n">
        <v>12</v>
      </c>
    </row>
    <row r="14">
      <c r="A14" s="94" t="inlineStr">
        <is>
          <t>26.09–27.09 ночная (сб–вс)</t>
        </is>
      </c>
      <c r="B14" s="95" t="n">
        <v>11.7061</v>
      </c>
      <c r="C14" s="95" t="n">
        <v>12.7333</v>
      </c>
      <c r="D14" s="96" t="n">
        <v>12</v>
      </c>
    </row>
    <row r="15">
      <c r="A15" s="94" t="inlineStr">
        <is>
          <t>29.09 дневная (вт)</t>
        </is>
      </c>
      <c r="B15" s="95" t="n">
        <v>10.8664</v>
      </c>
      <c r="C15" s="95" t="n">
        <v>12.5208</v>
      </c>
      <c r="D15" s="96" t="n">
        <v>12</v>
      </c>
    </row>
    <row r="16">
      <c r="A16" s="94" t="inlineStr">
        <is>
          <t>30.09 дневная (ср)</t>
        </is>
      </c>
      <c r="B16" s="95" t="n">
        <v>11.0994</v>
      </c>
      <c r="C16" s="95" t="n">
        <v>12.6053</v>
      </c>
      <c r="D16" s="9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Анализ журнала СКУД</dc:creator>
  <dc:title>Нахождение на рабочем месте, сентябрь 2026</dc:title>
  <dc:subject>Рабочее место — чистая зона; территория — турникет</dc:subject>
  <dcterms:created xsi:type="dcterms:W3CDTF">2026-10-06T12:14:49Z</dcterms:created>
  <dcterms:modified xsi:type="dcterms:W3CDTF">2026-10-06T12:14:49Z</dcterms:modified>
</cp:coreProperties>
</file>